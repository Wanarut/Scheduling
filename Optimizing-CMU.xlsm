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110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wanarutboonyung/Desktop/Works/OASYS/Scheduling/"/>
    </mc:Choice>
  </mc:AlternateContent>
  <xr:revisionPtr revIDLastSave="0" documentId="13_ncr:1_{3CAEEEEE-4697-424E-9E6B-B67E8263A31B}" xr6:coauthVersionLast="45" xr6:coauthVersionMax="45" xr10:uidLastSave="{00000000-0000-0000-0000-000000000000}"/>
  <bookViews>
    <workbookView xWindow="0" yWindow="460" windowWidth="33600" windowHeight="19780" xr2:uid="{00000000-000D-0000-FFFF-FFFF00000000}"/>
  </bookViews>
  <sheets>
    <sheet name="Task_Table" sheetId="13" r:id="rId1"/>
    <sheet name="Task_Table1" sheetId="1" r:id="rId2"/>
    <sheet name="Main" sheetId="2" r:id="rId3"/>
    <sheet name="PDM" sheetId="3" r:id="rId4"/>
    <sheet name="Resource_Table" sheetId="8" r:id="rId5"/>
    <sheet name="GRANT CHART" sheetId="4" state="hidden" r:id="rId6"/>
    <sheet name="OUTPUT" sheetId="10" r:id="rId7"/>
    <sheet name="Convert" sheetId="5" r:id="rId8"/>
    <sheet name="ev_HiddenInfo" sheetId="12" state="hidden" r:id="rId9"/>
    <sheet name="_PalUtilTempWorksheet" sheetId="11" state="hidden" r:id="rId10"/>
  </sheets>
  <definedNames>
    <definedName name="_xlnm._FilterDatabase" localSheetId="0" hidden="1">Task_Table!$A$1:$W$251</definedName>
    <definedName name="_xlnm._FilterDatabase" localSheetId="1" hidden="1">Task_Table1!$A$1:$V$251</definedName>
    <definedName name="S7055_1">0</definedName>
    <definedName name="S7055_2">0</definedName>
    <definedName name="S7055_3">0</definedName>
    <definedName name="S7055_4">0</definedName>
    <definedName name="solver_adj" localSheetId="3" hidden="1">PDM!#REF!</definedName>
    <definedName name="solver_cvg" localSheetId="3" hidden="1">0.0001</definedName>
    <definedName name="solver_drv" localSheetId="3" hidden="1">1</definedName>
    <definedName name="solver_eng" localSheetId="3" hidden="1">3</definedName>
    <definedName name="solver_eng" localSheetId="4" hidden="1">1</definedName>
    <definedName name="solver_est" localSheetId="3" hidden="1">1</definedName>
    <definedName name="solver_itr" localSheetId="3" hidden="1">2147483647</definedName>
    <definedName name="solver_lhs1" localSheetId="3" hidden="1">PDM!#REF!</definedName>
    <definedName name="solver_lhs2" localSheetId="3" hidden="1">PDM!#REF!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eg" localSheetId="4" hidden="1">1</definedName>
    <definedName name="solver_nod" localSheetId="3" hidden="1">2147483647</definedName>
    <definedName name="solver_num" localSheetId="3" hidden="1">1</definedName>
    <definedName name="solver_num" localSheetId="4" hidden="1">0</definedName>
    <definedName name="solver_nwt" localSheetId="3" hidden="1">1</definedName>
    <definedName name="solver_opt" localSheetId="3" hidden="1">PDM!#REF!</definedName>
    <definedName name="solver_opt" localSheetId="4" hidden="1">Resource_Table!#REF!</definedName>
    <definedName name="solver_pre" localSheetId="3" hidden="1">0.000001</definedName>
    <definedName name="solver_rbv" localSheetId="3" hidden="1">1</definedName>
    <definedName name="solver_rel1" localSheetId="3" hidden="1">3</definedName>
    <definedName name="solver_rel2" localSheetId="3" hidden="1">3</definedName>
    <definedName name="solver_rhs1" localSheetId="3" hidden="1">0</definedName>
    <definedName name="solver_rhs2" localSheetId="3" hidden="1">720</definedName>
    <definedName name="solver_rlx" localSheetId="3" hidden="1">2</definedName>
    <definedName name="solver_rsd" localSheetId="3" hidden="1">0</definedName>
    <definedName name="solver_scl" localSheetId="3" hidden="1">1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2</definedName>
    <definedName name="solver_typ" localSheetId="4" hidden="1">1</definedName>
    <definedName name="solver_val" localSheetId="3" hidden="1">0</definedName>
    <definedName name="solver_val" localSheetId="4" hidden="1">0</definedName>
    <definedName name="solver_ver" localSheetId="3" hidden="1">3</definedName>
    <definedName name="solver_ver" localSheetId="4" hidden="1">3</definedName>
    <definedName name="Task_Table1" localSheetId="0">Task_Table!#REF!</definedName>
    <definedName name="Task_Table1">Task_Table1!#REF!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6" i="12" l="1"/>
  <c r="H16" i="12"/>
  <c r="O246" i="3"/>
  <c r="N246" i="3"/>
  <c r="M246" i="3"/>
  <c r="L246" i="3"/>
  <c r="K246" i="3"/>
  <c r="O240" i="3"/>
  <c r="N240" i="3"/>
  <c r="M240" i="3"/>
  <c r="L240" i="3"/>
  <c r="K240" i="3"/>
  <c r="O234" i="3"/>
  <c r="N234" i="3"/>
  <c r="M234" i="3"/>
  <c r="L234" i="3"/>
  <c r="K234" i="3"/>
  <c r="O232" i="3"/>
  <c r="N232" i="3"/>
  <c r="M232" i="3"/>
  <c r="L232" i="3"/>
  <c r="K232" i="3"/>
  <c r="O226" i="3"/>
  <c r="N226" i="3"/>
  <c r="M226" i="3"/>
  <c r="L226" i="3"/>
  <c r="K226" i="3"/>
  <c r="O221" i="3"/>
  <c r="N221" i="3"/>
  <c r="M221" i="3"/>
  <c r="L221" i="3"/>
  <c r="K221" i="3"/>
  <c r="O216" i="3"/>
  <c r="N216" i="3"/>
  <c r="M216" i="3"/>
  <c r="L216" i="3"/>
  <c r="K216" i="3"/>
  <c r="O210" i="3"/>
  <c r="N210" i="3"/>
  <c r="M210" i="3"/>
  <c r="L210" i="3"/>
  <c r="K210" i="3"/>
  <c r="O209" i="3"/>
  <c r="N209" i="3"/>
  <c r="M209" i="3"/>
  <c r="L209" i="3"/>
  <c r="K209" i="3"/>
  <c r="O204" i="3"/>
  <c r="N204" i="3"/>
  <c r="M204" i="3"/>
  <c r="L204" i="3"/>
  <c r="K204" i="3"/>
  <c r="O202" i="3"/>
  <c r="N202" i="3"/>
  <c r="M202" i="3"/>
  <c r="L202" i="3"/>
  <c r="K202" i="3"/>
  <c r="O193" i="3"/>
  <c r="N193" i="3"/>
  <c r="M193" i="3"/>
  <c r="L193" i="3"/>
  <c r="K193" i="3"/>
  <c r="O192" i="3"/>
  <c r="N192" i="3"/>
  <c r="M192" i="3"/>
  <c r="L192" i="3"/>
  <c r="K192" i="3"/>
  <c r="O186" i="3"/>
  <c r="N186" i="3"/>
  <c r="M186" i="3"/>
  <c r="L186" i="3"/>
  <c r="K186" i="3"/>
  <c r="O180" i="3"/>
  <c r="N180" i="3"/>
  <c r="M180" i="3"/>
  <c r="L180" i="3"/>
  <c r="K180" i="3"/>
  <c r="O179" i="3"/>
  <c r="N179" i="3"/>
  <c r="M179" i="3"/>
  <c r="L179" i="3"/>
  <c r="K179" i="3"/>
  <c r="O172" i="3"/>
  <c r="N172" i="3"/>
  <c r="M172" i="3"/>
  <c r="L172" i="3"/>
  <c r="K172" i="3"/>
  <c r="O169" i="3"/>
  <c r="N169" i="3"/>
  <c r="M169" i="3"/>
  <c r="L169" i="3"/>
  <c r="K169" i="3"/>
  <c r="O167" i="3"/>
  <c r="N167" i="3"/>
  <c r="M167" i="3"/>
  <c r="L167" i="3"/>
  <c r="K167" i="3"/>
  <c r="O166" i="3"/>
  <c r="N166" i="3"/>
  <c r="M166" i="3"/>
  <c r="L166" i="3"/>
  <c r="K166" i="3"/>
  <c r="O164" i="3"/>
  <c r="N164" i="3"/>
  <c r="M164" i="3"/>
  <c r="L164" i="3"/>
  <c r="K164" i="3"/>
  <c r="O157" i="3"/>
  <c r="N157" i="3"/>
  <c r="M157" i="3"/>
  <c r="L157" i="3"/>
  <c r="K157" i="3"/>
  <c r="O154" i="3"/>
  <c r="N154" i="3"/>
  <c r="M154" i="3"/>
  <c r="L154" i="3"/>
  <c r="K154" i="3"/>
  <c r="O147" i="3"/>
  <c r="N147" i="3"/>
  <c r="M147" i="3"/>
  <c r="L147" i="3"/>
  <c r="K147" i="3"/>
  <c r="O143" i="3"/>
  <c r="N143" i="3"/>
  <c r="M143" i="3"/>
  <c r="L143" i="3"/>
  <c r="K143" i="3"/>
  <c r="O139" i="3"/>
  <c r="N139" i="3"/>
  <c r="M139" i="3"/>
  <c r="L139" i="3"/>
  <c r="K139" i="3"/>
  <c r="O138" i="3"/>
  <c r="N138" i="3"/>
  <c r="M138" i="3"/>
  <c r="L138" i="3"/>
  <c r="K138" i="3"/>
  <c r="O134" i="3"/>
  <c r="N134" i="3"/>
  <c r="M134" i="3"/>
  <c r="L134" i="3"/>
  <c r="K134" i="3"/>
  <c r="O126" i="3"/>
  <c r="N126" i="3"/>
  <c r="M126" i="3"/>
  <c r="L126" i="3"/>
  <c r="K126" i="3"/>
  <c r="O123" i="3"/>
  <c r="N123" i="3"/>
  <c r="M123" i="3"/>
  <c r="L123" i="3"/>
  <c r="K123" i="3"/>
  <c r="O116" i="3"/>
  <c r="N116" i="3"/>
  <c r="M116" i="3"/>
  <c r="L116" i="3"/>
  <c r="K116" i="3"/>
  <c r="O112" i="3"/>
  <c r="N112" i="3"/>
  <c r="M112" i="3"/>
  <c r="L112" i="3"/>
  <c r="K112" i="3"/>
  <c r="O108" i="3"/>
  <c r="N108" i="3"/>
  <c r="M108" i="3"/>
  <c r="L108" i="3"/>
  <c r="K108" i="3"/>
  <c r="O107" i="3"/>
  <c r="N107" i="3"/>
  <c r="M107" i="3"/>
  <c r="L107" i="3"/>
  <c r="K107" i="3"/>
  <c r="O103" i="3"/>
  <c r="N103" i="3"/>
  <c r="M103" i="3"/>
  <c r="L103" i="3"/>
  <c r="K103" i="3"/>
  <c r="O96" i="3"/>
  <c r="N96" i="3"/>
  <c r="M96" i="3"/>
  <c r="L96" i="3"/>
  <c r="K96" i="3"/>
  <c r="O94" i="3"/>
  <c r="N94" i="3"/>
  <c r="M94" i="3"/>
  <c r="L94" i="3"/>
  <c r="K94" i="3"/>
  <c r="O87" i="3"/>
  <c r="N87" i="3"/>
  <c r="M87" i="3"/>
  <c r="L87" i="3"/>
  <c r="K87" i="3"/>
  <c r="O83" i="3"/>
  <c r="N83" i="3"/>
  <c r="M83" i="3"/>
  <c r="L83" i="3"/>
  <c r="K83" i="3"/>
  <c r="O79" i="3"/>
  <c r="N79" i="3"/>
  <c r="M79" i="3"/>
  <c r="L79" i="3"/>
  <c r="K79" i="3"/>
  <c r="O78" i="3"/>
  <c r="N78" i="3"/>
  <c r="M78" i="3"/>
  <c r="L78" i="3"/>
  <c r="K78" i="3"/>
  <c r="O74" i="3"/>
  <c r="N74" i="3"/>
  <c r="M74" i="3"/>
  <c r="L74" i="3"/>
  <c r="K74" i="3"/>
  <c r="O67" i="3"/>
  <c r="N67" i="3"/>
  <c r="M67" i="3"/>
  <c r="L67" i="3"/>
  <c r="K67" i="3"/>
  <c r="O65" i="3"/>
  <c r="N65" i="3"/>
  <c r="M65" i="3"/>
  <c r="L65" i="3"/>
  <c r="K65" i="3"/>
  <c r="O58" i="3"/>
  <c r="N58" i="3"/>
  <c r="M58" i="3"/>
  <c r="L58" i="3"/>
  <c r="K58" i="3"/>
  <c r="O54" i="3"/>
  <c r="N54" i="3"/>
  <c r="M54" i="3"/>
  <c r="L54" i="3"/>
  <c r="K54" i="3"/>
  <c r="O50" i="3"/>
  <c r="N50" i="3"/>
  <c r="M50" i="3"/>
  <c r="L50" i="3"/>
  <c r="K50" i="3"/>
  <c r="O49" i="3"/>
  <c r="N49" i="3"/>
  <c r="M49" i="3"/>
  <c r="L49" i="3"/>
  <c r="K49" i="3"/>
  <c r="O45" i="3"/>
  <c r="N45" i="3"/>
  <c r="M45" i="3"/>
  <c r="L45" i="3"/>
  <c r="K45" i="3"/>
  <c r="O38" i="3"/>
  <c r="N38" i="3"/>
  <c r="M38" i="3"/>
  <c r="L38" i="3"/>
  <c r="K38" i="3"/>
  <c r="O36" i="3"/>
  <c r="N36" i="3"/>
  <c r="M36" i="3"/>
  <c r="L36" i="3"/>
  <c r="K36" i="3"/>
  <c r="O28" i="3"/>
  <c r="N28" i="3"/>
  <c r="M28" i="3"/>
  <c r="L28" i="3"/>
  <c r="K28" i="3"/>
  <c r="O18" i="3"/>
  <c r="N18" i="3"/>
  <c r="M18" i="3"/>
  <c r="L18" i="3"/>
  <c r="K18" i="3"/>
  <c r="O12" i="3"/>
  <c r="N12" i="3"/>
  <c r="M12" i="3"/>
  <c r="L12" i="3"/>
  <c r="K12" i="3"/>
  <c r="O6" i="3"/>
  <c r="N6" i="3"/>
  <c r="M6" i="3"/>
  <c r="L6" i="3"/>
  <c r="K6" i="3"/>
  <c r="O3" i="3"/>
  <c r="N3" i="3"/>
  <c r="M3" i="3"/>
  <c r="L3" i="3"/>
  <c r="K3" i="3"/>
  <c r="O2" i="3"/>
  <c r="N2" i="3"/>
  <c r="M2" i="3"/>
  <c r="L2" i="3"/>
  <c r="K2" i="3"/>
  <c r="W6" i="3"/>
  <c r="V6" i="3"/>
  <c r="G248" i="8"/>
  <c r="I248" i="8" s="1"/>
  <c r="G236" i="8"/>
  <c r="G228" i="8"/>
  <c r="I228" i="8"/>
  <c r="G224" i="8"/>
  <c r="I224" i="8" s="1"/>
  <c r="G220" i="8"/>
  <c r="I220" i="8"/>
  <c r="G212" i="8"/>
  <c r="I212" i="8"/>
  <c r="G208" i="8"/>
  <c r="I208" i="8" s="1"/>
  <c r="G196" i="8"/>
  <c r="I196" i="8"/>
  <c r="G184" i="8"/>
  <c r="G176" i="8"/>
  <c r="I176" i="8"/>
  <c r="G168" i="8"/>
  <c r="I168" i="8" s="1"/>
  <c r="G160" i="8"/>
  <c r="I160" i="8" s="1"/>
  <c r="G148" i="8"/>
  <c r="I148" i="8"/>
  <c r="G140" i="8"/>
  <c r="G136" i="8"/>
  <c r="G124" i="8"/>
  <c r="I124" i="8"/>
  <c r="G120" i="8"/>
  <c r="I120" i="8" s="1"/>
  <c r="G104" i="8"/>
  <c r="G100" i="8"/>
  <c r="I100" i="8"/>
  <c r="G92" i="8"/>
  <c r="I92" i="8" s="1"/>
  <c r="G88" i="8"/>
  <c r="I88" i="8" s="1"/>
  <c r="G84" i="8"/>
  <c r="I84" i="8" s="1"/>
  <c r="G80" i="8"/>
  <c r="G76" i="8"/>
  <c r="I76" i="8"/>
  <c r="G68" i="8"/>
  <c r="I68" i="8"/>
  <c r="G64" i="8"/>
  <c r="I64" i="8" s="1"/>
  <c r="G60" i="8"/>
  <c r="I60" i="8"/>
  <c r="G56" i="8"/>
  <c r="G48" i="8"/>
  <c r="I48" i="8"/>
  <c r="G44" i="8"/>
  <c r="I44" i="8" s="1"/>
  <c r="G40" i="8"/>
  <c r="I40" i="8" s="1"/>
  <c r="G32" i="8"/>
  <c r="I32" i="8"/>
  <c r="G20" i="8"/>
  <c r="I20" i="8" s="1"/>
  <c r="G16" i="8"/>
  <c r="I16" i="8" s="1"/>
  <c r="G8" i="8"/>
  <c r="I8" i="8"/>
  <c r="G4" i="8"/>
  <c r="I4" i="8" s="1"/>
  <c r="C239" i="8"/>
  <c r="I239" i="8" s="1"/>
  <c r="C238" i="8"/>
  <c r="C237" i="8"/>
  <c r="C236" i="8"/>
  <c r="I236" i="8" s="1"/>
  <c r="C235" i="8"/>
  <c r="C191" i="8"/>
  <c r="C190" i="8"/>
  <c r="C189" i="8"/>
  <c r="C188" i="8"/>
  <c r="C187" i="8"/>
  <c r="I187" i="8" s="1"/>
  <c r="C185" i="8"/>
  <c r="C184" i="8"/>
  <c r="C183" i="8"/>
  <c r="C182" i="8"/>
  <c r="C181" i="8"/>
  <c r="I181" i="8" s="1"/>
  <c r="C146" i="8"/>
  <c r="I146" i="8" s="1"/>
  <c r="C145" i="8"/>
  <c r="C144" i="8"/>
  <c r="C142" i="8"/>
  <c r="I142" i="8" s="1"/>
  <c r="C141" i="8"/>
  <c r="C140" i="8"/>
  <c r="I140" i="8" s="1"/>
  <c r="C137" i="8"/>
  <c r="I137" i="8" s="1"/>
  <c r="C136" i="8"/>
  <c r="I136" i="8" s="1"/>
  <c r="C135" i="8"/>
  <c r="C115" i="8"/>
  <c r="C114" i="8"/>
  <c r="C113" i="8"/>
  <c r="I113" i="8" s="1"/>
  <c r="C111" i="8"/>
  <c r="C110" i="8"/>
  <c r="C109" i="8"/>
  <c r="C106" i="8"/>
  <c r="C105" i="8"/>
  <c r="C104" i="8"/>
  <c r="I104" i="8" s="1"/>
  <c r="C86" i="8"/>
  <c r="C85" i="8"/>
  <c r="C84" i="8"/>
  <c r="C82" i="8"/>
  <c r="I82" i="8" s="1"/>
  <c r="C81" i="8"/>
  <c r="C80" i="8"/>
  <c r="I80" i="8" s="1"/>
  <c r="C77" i="8"/>
  <c r="I77" i="8" s="1"/>
  <c r="C76" i="8"/>
  <c r="C75" i="8"/>
  <c r="C57" i="8"/>
  <c r="I57" i="8" s="1"/>
  <c r="C56" i="8"/>
  <c r="C55" i="8"/>
  <c r="I55" i="8" s="1"/>
  <c r="C53" i="8"/>
  <c r="I53" i="8" s="1"/>
  <c r="C52" i="8"/>
  <c r="C51" i="8"/>
  <c r="C48" i="8"/>
  <c r="C47" i="8"/>
  <c r="C46" i="8"/>
  <c r="G251" i="8"/>
  <c r="I251" i="8" s="1"/>
  <c r="G250" i="8"/>
  <c r="I250" i="8"/>
  <c r="G249" i="8"/>
  <c r="I249" i="8"/>
  <c r="G247" i="8"/>
  <c r="I247" i="8" s="1"/>
  <c r="G245" i="8"/>
  <c r="I245" i="8"/>
  <c r="G244" i="8"/>
  <c r="I244" i="8"/>
  <c r="G243" i="8"/>
  <c r="I243" i="8" s="1"/>
  <c r="G242" i="8"/>
  <c r="I242" i="8"/>
  <c r="G241" i="8"/>
  <c r="I241" i="8"/>
  <c r="G239" i="8"/>
  <c r="G238" i="8"/>
  <c r="I238" i="8"/>
  <c r="G237" i="8"/>
  <c r="I237" i="8"/>
  <c r="G235" i="8"/>
  <c r="I235" i="8" s="1"/>
  <c r="G233" i="8"/>
  <c r="I233" i="8"/>
  <c r="G231" i="8"/>
  <c r="I231" i="8"/>
  <c r="G230" i="8"/>
  <c r="I230" i="8" s="1"/>
  <c r="G229" i="8"/>
  <c r="I229" i="8"/>
  <c r="G227" i="8"/>
  <c r="I227" i="8"/>
  <c r="G225" i="8"/>
  <c r="I225" i="8" s="1"/>
  <c r="G223" i="8"/>
  <c r="I223" i="8"/>
  <c r="G222" i="8"/>
  <c r="I222" i="8"/>
  <c r="G219" i="8"/>
  <c r="I219" i="8" s="1"/>
  <c r="G218" i="8"/>
  <c r="I218" i="8"/>
  <c r="G217" i="8"/>
  <c r="I217" i="8"/>
  <c r="G215" i="8"/>
  <c r="I215" i="8" s="1"/>
  <c r="G214" i="8"/>
  <c r="I214" i="8"/>
  <c r="G213" i="8"/>
  <c r="I213" i="8"/>
  <c r="G211" i="8"/>
  <c r="I211" i="8" s="1"/>
  <c r="G207" i="8"/>
  <c r="I207" i="8"/>
  <c r="G206" i="8"/>
  <c r="I206" i="8"/>
  <c r="G205" i="8"/>
  <c r="I205" i="8" s="1"/>
  <c r="G203" i="8"/>
  <c r="I203" i="8"/>
  <c r="G201" i="8"/>
  <c r="I201" i="8"/>
  <c r="G200" i="8"/>
  <c r="I200" i="8" s="1"/>
  <c r="G199" i="8"/>
  <c r="I199" i="8"/>
  <c r="G198" i="8"/>
  <c r="I198" i="8"/>
  <c r="G197" i="8"/>
  <c r="I197" i="8" s="1"/>
  <c r="G195" i="8"/>
  <c r="I195" i="8"/>
  <c r="G194" i="8"/>
  <c r="I194" i="8"/>
  <c r="G191" i="8"/>
  <c r="I191" i="8" s="1"/>
  <c r="G190" i="8"/>
  <c r="I190" i="8"/>
  <c r="G189" i="8"/>
  <c r="G188" i="8"/>
  <c r="I188" i="8"/>
  <c r="G187" i="8"/>
  <c r="G185" i="8"/>
  <c r="I185" i="8" s="1"/>
  <c r="G183" i="8"/>
  <c r="I183" i="8"/>
  <c r="G182" i="8"/>
  <c r="I182" i="8" s="1"/>
  <c r="G181" i="8"/>
  <c r="G178" i="8"/>
  <c r="I178" i="8" s="1"/>
  <c r="G177" i="8"/>
  <c r="I177" i="8" s="1"/>
  <c r="G175" i="8"/>
  <c r="I175" i="8" s="1"/>
  <c r="G174" i="8"/>
  <c r="I174" i="8"/>
  <c r="G173" i="8"/>
  <c r="I173" i="8" s="1"/>
  <c r="G171" i="8"/>
  <c r="I171" i="8" s="1"/>
  <c r="G170" i="8"/>
  <c r="I170" i="8"/>
  <c r="G165" i="8"/>
  <c r="I165" i="8" s="1"/>
  <c r="G163" i="8"/>
  <c r="I163" i="8" s="1"/>
  <c r="G162" i="8"/>
  <c r="I162" i="8"/>
  <c r="G161" i="8"/>
  <c r="I161" i="8" s="1"/>
  <c r="G159" i="8"/>
  <c r="I159" i="8" s="1"/>
  <c r="G158" i="8"/>
  <c r="I158" i="8"/>
  <c r="G156" i="8"/>
  <c r="I156" i="8" s="1"/>
  <c r="G155" i="8"/>
  <c r="I155" i="8" s="1"/>
  <c r="G153" i="8"/>
  <c r="I153" i="8"/>
  <c r="G152" i="8"/>
  <c r="I152" i="8" s="1"/>
  <c r="G151" i="8"/>
  <c r="I151" i="8" s="1"/>
  <c r="G150" i="8"/>
  <c r="I150" i="8"/>
  <c r="G149" i="8"/>
  <c r="I149" i="8"/>
  <c r="G146" i="8"/>
  <c r="G145" i="8"/>
  <c r="I145" i="8"/>
  <c r="G144" i="8"/>
  <c r="I144" i="8"/>
  <c r="G142" i="8"/>
  <c r="G141" i="8"/>
  <c r="I141" i="8" s="1"/>
  <c r="G137" i="8"/>
  <c r="G135" i="8"/>
  <c r="G133" i="8"/>
  <c r="I133" i="8" s="1"/>
  <c r="G132" i="8"/>
  <c r="I132" i="8"/>
  <c r="G131" i="8"/>
  <c r="I131" i="8"/>
  <c r="G130" i="8"/>
  <c r="I130" i="8" s="1"/>
  <c r="G129" i="8"/>
  <c r="I129" i="8"/>
  <c r="G128" i="8"/>
  <c r="I128" i="8"/>
  <c r="G127" i="8"/>
  <c r="I127" i="8" s="1"/>
  <c r="G125" i="8"/>
  <c r="I125" i="8"/>
  <c r="G122" i="8"/>
  <c r="I122" i="8"/>
  <c r="G121" i="8"/>
  <c r="I121" i="8" s="1"/>
  <c r="G119" i="8"/>
  <c r="I119" i="8"/>
  <c r="G118" i="8"/>
  <c r="I118" i="8"/>
  <c r="G117" i="8"/>
  <c r="I117" i="8" s="1"/>
  <c r="G115" i="8"/>
  <c r="I115" i="8"/>
  <c r="G114" i="8"/>
  <c r="I114" i="8"/>
  <c r="G113" i="8"/>
  <c r="G111" i="8"/>
  <c r="I111" i="8"/>
  <c r="G110" i="8"/>
  <c r="I110" i="8"/>
  <c r="G109" i="8"/>
  <c r="I109" i="8" s="1"/>
  <c r="G106" i="8"/>
  <c r="I106" i="8"/>
  <c r="G105" i="8"/>
  <c r="I105" i="8"/>
  <c r="G102" i="8"/>
  <c r="I102" i="8" s="1"/>
  <c r="G101" i="8"/>
  <c r="I101" i="8"/>
  <c r="G99" i="8"/>
  <c r="I99" i="8"/>
  <c r="G98" i="8"/>
  <c r="I98" i="8" s="1"/>
  <c r="G97" i="8"/>
  <c r="I97" i="8"/>
  <c r="G95" i="8"/>
  <c r="I95" i="8"/>
  <c r="G93" i="8"/>
  <c r="I93" i="8" s="1"/>
  <c r="G91" i="8"/>
  <c r="I91" i="8"/>
  <c r="G90" i="8"/>
  <c r="I90" i="8"/>
  <c r="G89" i="8"/>
  <c r="I89" i="8" s="1"/>
  <c r="G86" i="8"/>
  <c r="I86" i="8"/>
  <c r="G85" i="8"/>
  <c r="I85" i="8"/>
  <c r="G82" i="8"/>
  <c r="G81" i="8"/>
  <c r="I81" i="8"/>
  <c r="G77" i="8"/>
  <c r="G75" i="8"/>
  <c r="I75" i="8"/>
  <c r="G73" i="8"/>
  <c r="I73" i="8"/>
  <c r="G72" i="8"/>
  <c r="I72" i="8" s="1"/>
  <c r="G71" i="8"/>
  <c r="I71" i="8"/>
  <c r="G70" i="8"/>
  <c r="I70" i="8"/>
  <c r="G69" i="8"/>
  <c r="I69" i="8" s="1"/>
  <c r="G66" i="8"/>
  <c r="I66" i="8"/>
  <c r="G63" i="8"/>
  <c r="I63" i="8"/>
  <c r="G62" i="8"/>
  <c r="I62" i="8" s="1"/>
  <c r="G61" i="8"/>
  <c r="I61" i="8"/>
  <c r="G59" i="8"/>
  <c r="I59" i="8"/>
  <c r="G57" i="8"/>
  <c r="G55" i="8"/>
  <c r="G53" i="8"/>
  <c r="G52" i="8"/>
  <c r="I52" i="8" s="1"/>
  <c r="G51" i="8"/>
  <c r="G47" i="8"/>
  <c r="I47" i="8" s="1"/>
  <c r="G46" i="8"/>
  <c r="I46" i="8"/>
  <c r="G43" i="8"/>
  <c r="I43" i="8"/>
  <c r="G42" i="8"/>
  <c r="I42" i="8" s="1"/>
  <c r="G41" i="8"/>
  <c r="I41" i="8"/>
  <c r="G39" i="8"/>
  <c r="I39" i="8"/>
  <c r="G37" i="8"/>
  <c r="I37" i="8" s="1"/>
  <c r="G35" i="8"/>
  <c r="I35" i="8"/>
  <c r="G34" i="8"/>
  <c r="I34" i="8"/>
  <c r="G33" i="8"/>
  <c r="I33" i="8" s="1"/>
  <c r="G31" i="8"/>
  <c r="I31" i="8"/>
  <c r="G30" i="8"/>
  <c r="I30" i="8"/>
  <c r="G29" i="8"/>
  <c r="I29" i="8" s="1"/>
  <c r="G27" i="8"/>
  <c r="I27" i="8"/>
  <c r="G26" i="8"/>
  <c r="I26" i="8"/>
  <c r="G25" i="8"/>
  <c r="I25" i="8" s="1"/>
  <c r="G24" i="8"/>
  <c r="I24" i="8"/>
  <c r="G23" i="8"/>
  <c r="I23" i="8"/>
  <c r="G22" i="8"/>
  <c r="I22" i="8" s="1"/>
  <c r="G21" i="8"/>
  <c r="I21" i="8"/>
  <c r="G19" i="8"/>
  <c r="I19" i="8"/>
  <c r="G17" i="8"/>
  <c r="I17" i="8" s="1"/>
  <c r="G15" i="8"/>
  <c r="I15" i="8"/>
  <c r="G14" i="8"/>
  <c r="I14" i="8"/>
  <c r="G13" i="8"/>
  <c r="I13" i="8" s="1"/>
  <c r="G11" i="8"/>
  <c r="I11" i="8"/>
  <c r="G10" i="8"/>
  <c r="I10" i="8"/>
  <c r="G9" i="8"/>
  <c r="I9" i="8" s="1"/>
  <c r="G7" i="8"/>
  <c r="I7" i="8"/>
  <c r="G5" i="8"/>
  <c r="I5" i="8"/>
  <c r="I51" i="8"/>
  <c r="I56" i="8"/>
  <c r="I184" i="8"/>
  <c r="I189" i="8"/>
  <c r="I135" i="8"/>
  <c r="K11" i="2"/>
  <c r="K22" i="2" s="1"/>
  <c r="M23" i="2"/>
  <c r="H23" i="2"/>
  <c r="M22" i="2"/>
  <c r="H22" i="2"/>
  <c r="M21" i="2"/>
  <c r="H21" i="2"/>
  <c r="M20" i="2"/>
  <c r="H20" i="2"/>
  <c r="M19" i="2"/>
  <c r="M25" i="2" s="1"/>
  <c r="H19" i="2"/>
  <c r="M14" i="2"/>
  <c r="L12" i="2"/>
  <c r="L23" i="2" s="1"/>
  <c r="K12" i="2"/>
  <c r="K23" i="2" s="1"/>
  <c r="J12" i="2"/>
  <c r="I12" i="2"/>
  <c r="H12" i="2"/>
  <c r="J11" i="2"/>
  <c r="J22" i="2" s="1"/>
  <c r="I11" i="2"/>
  <c r="H11" i="2"/>
  <c r="J10" i="2"/>
  <c r="J19" i="2" s="1"/>
  <c r="I10" i="2"/>
  <c r="I23" i="2" s="1"/>
  <c r="H10" i="2"/>
  <c r="I9" i="2"/>
  <c r="H9" i="2"/>
  <c r="H8" i="2"/>
  <c r="I19" i="2"/>
  <c r="K21" i="2"/>
  <c r="J23" i="2"/>
  <c r="I14" i="2"/>
  <c r="I22" i="2"/>
  <c r="L20" i="2"/>
  <c r="K20" i="2"/>
  <c r="N23" i="2" l="1"/>
  <c r="W12" i="3" s="1"/>
  <c r="N19" i="2"/>
  <c r="J14" i="2"/>
  <c r="L21" i="2"/>
  <c r="I20" i="2"/>
  <c r="I21" i="2"/>
  <c r="J21" i="2"/>
  <c r="L19" i="2"/>
  <c r="J20" i="2"/>
  <c r="J25" i="2" s="1"/>
  <c r="K19" i="2"/>
  <c r="K25" i="2" s="1"/>
  <c r="L22" i="2"/>
  <c r="N22" i="2" s="1"/>
  <c r="W11" i="3" s="1"/>
  <c r="K14" i="2"/>
  <c r="L14" i="2"/>
  <c r="L25" i="2" l="1"/>
  <c r="N21" i="2"/>
  <c r="W10" i="3" s="1"/>
  <c r="W8" i="3"/>
  <c r="N20" i="2"/>
  <c r="W9" i="3" s="1"/>
  <c r="I25" i="2"/>
  <c r="G230" i="3"/>
  <c r="G115" i="3"/>
  <c r="J122" i="3"/>
  <c r="J121" i="3"/>
  <c r="J130" i="3"/>
  <c r="J64" i="3"/>
  <c r="J59" i="3"/>
  <c r="G39" i="3"/>
  <c r="J158" i="3"/>
  <c r="G220" i="3"/>
  <c r="G133" i="3"/>
  <c r="G62" i="3"/>
  <c r="G228" i="3"/>
  <c r="G249" i="3"/>
  <c r="G65" i="3"/>
  <c r="J42" i="3"/>
  <c r="G21" i="3"/>
  <c r="G155" i="3"/>
  <c r="J124" i="3"/>
  <c r="J93" i="3"/>
  <c r="G251" i="3"/>
  <c r="G191" i="3"/>
  <c r="J69" i="3"/>
  <c r="G140" i="3"/>
  <c r="G235" i="3"/>
  <c r="J22" i="3"/>
  <c r="J238" i="3"/>
  <c r="J84" i="3"/>
  <c r="G87" i="3"/>
  <c r="J142" i="3"/>
  <c r="G128" i="3"/>
  <c r="G167" i="3"/>
  <c r="G222" i="3"/>
  <c r="G14" i="3"/>
  <c r="G53" i="3"/>
  <c r="G7" i="3"/>
  <c r="G6" i="3"/>
  <c r="G227" i="3"/>
  <c r="J220" i="3"/>
  <c r="G121" i="3"/>
  <c r="G52" i="3"/>
  <c r="J144" i="3"/>
  <c r="K5" i="3"/>
  <c r="J173" i="3"/>
  <c r="J195" i="3"/>
  <c r="G187" i="3"/>
  <c r="J57" i="3"/>
  <c r="G16" i="3"/>
  <c r="G224" i="3"/>
  <c r="J215" i="3"/>
  <c r="G160" i="3"/>
  <c r="J218" i="3"/>
  <c r="J14" i="3"/>
  <c r="G78" i="3"/>
  <c r="J170" i="3"/>
  <c r="G213" i="3"/>
  <c r="G107" i="3"/>
  <c r="G190" i="3"/>
  <c r="J222" i="3"/>
  <c r="G42" i="3"/>
  <c r="J237" i="3"/>
  <c r="J68" i="3"/>
  <c r="K64" i="3"/>
  <c r="G219" i="3"/>
  <c r="J151" i="3"/>
  <c r="J20" i="3"/>
  <c r="J90" i="3"/>
  <c r="G43" i="3"/>
  <c r="J242" i="3"/>
  <c r="J81" i="3"/>
  <c r="G247" i="3"/>
  <c r="J129" i="3"/>
  <c r="G92" i="3"/>
  <c r="J61" i="3"/>
  <c r="G204" i="3"/>
  <c r="G142" i="3"/>
  <c r="L5" i="3"/>
  <c r="K7" i="3"/>
  <c r="G170" i="3"/>
  <c r="J153" i="3"/>
  <c r="J100" i="3"/>
  <c r="G202" i="3"/>
  <c r="J39" i="3"/>
  <c r="J231" i="3"/>
  <c r="J32" i="3"/>
  <c r="J92" i="3"/>
  <c r="G221" i="3"/>
  <c r="G179" i="3"/>
  <c r="G147" i="3"/>
  <c r="J189" i="3"/>
  <c r="G93" i="3"/>
  <c r="G164" i="3"/>
  <c r="J214" i="3"/>
  <c r="J117" i="3"/>
  <c r="G205" i="3"/>
  <c r="J60" i="3"/>
  <c r="G196" i="3"/>
  <c r="G182" i="3"/>
  <c r="J229" i="3"/>
  <c r="G158" i="3"/>
  <c r="G225" i="3"/>
  <c r="K37" i="3"/>
  <c r="G233" i="3"/>
  <c r="J188" i="3"/>
  <c r="G137" i="3"/>
  <c r="G141" i="3"/>
  <c r="J190" i="3"/>
  <c r="J44" i="3"/>
  <c r="J160" i="3"/>
  <c r="G54" i="3"/>
  <c r="G240" i="3"/>
  <c r="G31" i="3"/>
  <c r="G23" i="3"/>
  <c r="G134" i="3"/>
  <c r="G51" i="3"/>
  <c r="J225" i="3"/>
  <c r="G38" i="3"/>
  <c r="J23" i="3"/>
  <c r="J196" i="3"/>
  <c r="G84" i="3"/>
  <c r="G250" i="3"/>
  <c r="G146" i="3"/>
  <c r="J248" i="3"/>
  <c r="G48" i="3"/>
  <c r="G24" i="3"/>
  <c r="G210" i="3"/>
  <c r="G45" i="3"/>
  <c r="G197" i="3"/>
  <c r="G154" i="3"/>
  <c r="G237" i="3"/>
  <c r="J206" i="3"/>
  <c r="G138" i="3"/>
  <c r="G122" i="3"/>
  <c r="J43" i="3"/>
  <c r="J62" i="3"/>
  <c r="J233" i="3"/>
  <c r="G156" i="3"/>
  <c r="G215" i="3"/>
  <c r="J17" i="3"/>
  <c r="G29" i="3"/>
  <c r="J208" i="3"/>
  <c r="J47" i="3"/>
  <c r="G22" i="3"/>
  <c r="J25" i="3"/>
  <c r="J217" i="3"/>
  <c r="K32" i="3"/>
  <c r="G9" i="3"/>
  <c r="G150" i="3"/>
  <c r="G71" i="3"/>
  <c r="G123" i="3"/>
  <c r="G18" i="3"/>
  <c r="G11" i="3"/>
  <c r="K61" i="3"/>
  <c r="G157" i="3"/>
  <c r="K19" i="3"/>
  <c r="G3" i="3"/>
  <c r="G177" i="3"/>
  <c r="K62" i="3"/>
  <c r="J236" i="3"/>
  <c r="J197" i="3"/>
  <c r="J249" i="3"/>
  <c r="G241" i="3"/>
  <c r="K27" i="3"/>
  <c r="G148" i="3"/>
  <c r="G111" i="3"/>
  <c r="J183" i="3"/>
  <c r="G97" i="3"/>
  <c r="J187" i="3"/>
  <c r="G174" i="3"/>
  <c r="K31" i="3"/>
  <c r="L31" i="3" s="1"/>
  <c r="G119" i="3"/>
  <c r="G99" i="3"/>
  <c r="J102" i="3"/>
  <c r="J182" i="3"/>
  <c r="G216" i="3"/>
  <c r="G201" i="3"/>
  <c r="J239" i="3"/>
  <c r="G163" i="3"/>
  <c r="J131" i="3"/>
  <c r="G50" i="3"/>
  <c r="J145" i="3"/>
  <c r="G15" i="3"/>
  <c r="J165" i="3"/>
  <c r="J115" i="3"/>
  <c r="G212" i="3"/>
  <c r="J24" i="3"/>
  <c r="G127" i="3"/>
  <c r="G113" i="3"/>
  <c r="G8" i="3"/>
  <c r="J228" i="3"/>
  <c r="G124" i="3"/>
  <c r="G118" i="3"/>
  <c r="J159" i="3"/>
  <c r="G2" i="3"/>
  <c r="J194" i="3"/>
  <c r="J86" i="3"/>
  <c r="G181" i="3"/>
  <c r="G223" i="3"/>
  <c r="G161" i="3"/>
  <c r="G108" i="3"/>
  <c r="G199" i="3"/>
  <c r="J207" i="3"/>
  <c r="G40" i="3"/>
  <c r="K35" i="3"/>
  <c r="G114" i="3"/>
  <c r="J113" i="3"/>
  <c r="J73" i="3"/>
  <c r="G198" i="3"/>
  <c r="J85" i="3"/>
  <c r="G102" i="3"/>
  <c r="G74" i="3"/>
  <c r="J125" i="3"/>
  <c r="G195" i="3"/>
  <c r="G173" i="3"/>
  <c r="J106" i="3"/>
  <c r="G59" i="3"/>
  <c r="J51" i="3"/>
  <c r="G73" i="3"/>
  <c r="G192" i="3"/>
  <c r="J141" i="3"/>
  <c r="G81" i="3"/>
  <c r="J76" i="3"/>
  <c r="J27" i="3"/>
  <c r="J235" i="3"/>
  <c r="G57" i="3"/>
  <c r="J88" i="3"/>
  <c r="G80" i="3"/>
  <c r="J13" i="3"/>
  <c r="G88" i="3"/>
  <c r="G112" i="3"/>
  <c r="J200" i="3"/>
  <c r="G188" i="3"/>
  <c r="J176" i="3"/>
  <c r="J212" i="3"/>
  <c r="J30" i="3"/>
  <c r="G244" i="3"/>
  <c r="G211" i="3"/>
  <c r="G70" i="3"/>
  <c r="J251" i="3"/>
  <c r="G193" i="3"/>
  <c r="G136" i="3"/>
  <c r="G125" i="3"/>
  <c r="J4" i="3"/>
  <c r="J185" i="3"/>
  <c r="L19" i="3"/>
  <c r="L35" i="3"/>
  <c r="G243" i="3"/>
  <c r="J48" i="3"/>
  <c r="J137" i="3"/>
  <c r="J205" i="3"/>
  <c r="K63" i="3"/>
  <c r="J21" i="3"/>
  <c r="G44" i="3"/>
  <c r="G165" i="3"/>
  <c r="J98" i="3"/>
  <c r="K29" i="3"/>
  <c r="G77" i="3"/>
  <c r="J16" i="3"/>
  <c r="G153" i="3"/>
  <c r="G47" i="3"/>
  <c r="J149" i="3"/>
  <c r="J11" i="3"/>
  <c r="K34" i="3"/>
  <c r="G109" i="3"/>
  <c r="G12" i="3"/>
  <c r="G214" i="3"/>
  <c r="J104" i="3"/>
  <c r="G96" i="3"/>
  <c r="G126" i="3"/>
  <c r="G30" i="3"/>
  <c r="G103" i="3"/>
  <c r="J53" i="3"/>
  <c r="G178" i="3"/>
  <c r="J105" i="3"/>
  <c r="G130" i="3"/>
  <c r="G36" i="3"/>
  <c r="J29" i="3"/>
  <c r="G83" i="3"/>
  <c r="G46" i="3"/>
  <c r="J211" i="3"/>
  <c r="G245" i="3"/>
  <c r="J181" i="3"/>
  <c r="J177" i="3"/>
  <c r="G209" i="3"/>
  <c r="J110" i="3"/>
  <c r="J184" i="3"/>
  <c r="G82" i="3"/>
  <c r="G19" i="3"/>
  <c r="J201" i="3"/>
  <c r="J199" i="3"/>
  <c r="G139" i="3"/>
  <c r="G79" i="3"/>
  <c r="G105" i="3"/>
  <c r="G186" i="3"/>
  <c r="G189" i="3"/>
  <c r="G17" i="3"/>
  <c r="G185" i="3"/>
  <c r="G13" i="3"/>
  <c r="G100" i="3"/>
  <c r="G208" i="3"/>
  <c r="J46" i="3"/>
  <c r="G32" i="3"/>
  <c r="G145" i="3"/>
  <c r="J168" i="3"/>
  <c r="J77" i="3"/>
  <c r="G246" i="3"/>
  <c r="G75" i="3"/>
  <c r="K30" i="3"/>
  <c r="G94" i="3"/>
  <c r="G41" i="3"/>
  <c r="J227" i="3"/>
  <c r="J174" i="3"/>
  <c r="G248" i="3"/>
  <c r="G55" i="3"/>
  <c r="J56" i="3"/>
  <c r="J5" i="3"/>
  <c r="G86" i="3"/>
  <c r="G200" i="3"/>
  <c r="J80" i="3"/>
  <c r="G171" i="3"/>
  <c r="G129" i="3"/>
  <c r="G56" i="3"/>
  <c r="J55" i="3"/>
  <c r="J198" i="3"/>
  <c r="J71" i="3"/>
  <c r="G69" i="3"/>
  <c r="J146" i="3"/>
  <c r="J101" i="3"/>
  <c r="G28" i="3"/>
  <c r="J40" i="3"/>
  <c r="G238" i="3"/>
  <c r="G66" i="3"/>
  <c r="J9" i="3"/>
  <c r="G95" i="3"/>
  <c r="J245" i="3"/>
  <c r="G184" i="3"/>
  <c r="G85" i="3"/>
  <c r="J244" i="3"/>
  <c r="G37" i="3"/>
  <c r="J127" i="3"/>
  <c r="J8" i="3"/>
  <c r="G91" i="3"/>
  <c r="J243" i="3"/>
  <c r="G162" i="3"/>
  <c r="G5" i="3"/>
  <c r="G236" i="3"/>
  <c r="G176" i="3"/>
  <c r="G242" i="3"/>
  <c r="G203" i="3"/>
  <c r="G180" i="3"/>
  <c r="G132" i="3"/>
  <c r="J250" i="3"/>
  <c r="J66" i="3"/>
  <c r="G98" i="3"/>
  <c r="G183" i="3"/>
  <c r="G27" i="3"/>
  <c r="J114" i="3"/>
  <c r="J155" i="3"/>
  <c r="J118" i="3"/>
  <c r="G72" i="3"/>
  <c r="J140" i="3"/>
  <c r="J163" i="3"/>
  <c r="J75" i="3"/>
  <c r="J33" i="3"/>
  <c r="J111" i="3"/>
  <c r="G175" i="3"/>
  <c r="J132" i="3"/>
  <c r="G206" i="3"/>
  <c r="G135" i="3"/>
  <c r="G101" i="3"/>
  <c r="K33" i="3"/>
  <c r="L33" i="3" s="1"/>
  <c r="G234" i="3"/>
  <c r="J34" i="3"/>
  <c r="G60" i="3"/>
  <c r="G217" i="3"/>
  <c r="J191" i="3"/>
  <c r="G20" i="3"/>
  <c r="J161" i="3"/>
  <c r="J70" i="3"/>
  <c r="G207" i="3"/>
  <c r="G90" i="3"/>
  <c r="J230" i="3"/>
  <c r="J120" i="3"/>
  <c r="K13" i="3"/>
  <c r="J219" i="3"/>
  <c r="G231" i="3"/>
  <c r="G232" i="3"/>
  <c r="J31" i="3"/>
  <c r="J150" i="3"/>
  <c r="J247" i="3"/>
  <c r="G239" i="3"/>
  <c r="G68" i="3"/>
  <c r="G194" i="3"/>
  <c r="G229" i="3"/>
  <c r="J15" i="3"/>
  <c r="J89" i="3"/>
  <c r="J171" i="3"/>
  <c r="G104" i="3"/>
  <c r="J82" i="3"/>
  <c r="G143" i="3"/>
  <c r="J37" i="3"/>
  <c r="J52" i="3"/>
  <c r="G63" i="3"/>
  <c r="J99" i="3"/>
  <c r="J7" i="3"/>
  <c r="G226" i="3"/>
  <c r="G166" i="3"/>
  <c r="J148" i="3"/>
  <c r="G152" i="3"/>
  <c r="G64" i="3"/>
  <c r="J152" i="3"/>
  <c r="J26" i="3"/>
  <c r="G34" i="3"/>
  <c r="G89" i="3"/>
  <c r="J136" i="3"/>
  <c r="G76" i="3"/>
  <c r="J175" i="3"/>
  <c r="G33" i="3"/>
  <c r="G58" i="3"/>
  <c r="G116" i="3"/>
  <c r="G120" i="3"/>
  <c r="G67" i="3"/>
  <c r="G106" i="3"/>
  <c r="G49" i="3"/>
  <c r="J72" i="3"/>
  <c r="G110" i="3"/>
  <c r="G149" i="3"/>
  <c r="J35" i="3"/>
  <c r="G218" i="3"/>
  <c r="G117" i="3"/>
  <c r="G10" i="3"/>
  <c r="J95" i="3"/>
  <c r="J135" i="3"/>
  <c r="G151" i="3"/>
  <c r="J63" i="3"/>
  <c r="J162" i="3"/>
  <c r="J119" i="3"/>
  <c r="J133" i="3"/>
  <c r="J10" i="3"/>
  <c r="J241" i="3"/>
  <c r="G35" i="3"/>
  <c r="J91" i="3"/>
  <c r="G159" i="3"/>
  <c r="G144" i="3"/>
  <c r="G4" i="3"/>
  <c r="J97" i="3"/>
  <c r="G25" i="3"/>
  <c r="J156" i="3"/>
  <c r="J109" i="3"/>
  <c r="G131" i="3"/>
  <c r="G169" i="3"/>
  <c r="J41" i="3"/>
  <c r="G26" i="3"/>
  <c r="J223" i="3"/>
  <c r="G61" i="3"/>
  <c r="J213" i="3"/>
  <c r="G172" i="3"/>
  <c r="J224" i="3"/>
  <c r="J19" i="3"/>
  <c r="J128" i="3"/>
  <c r="G168" i="3"/>
  <c r="J203" i="3"/>
  <c r="J178" i="3"/>
  <c r="L13" i="3"/>
  <c r="L34" i="3"/>
  <c r="K110" i="3"/>
  <c r="K8" i="3"/>
  <c r="K40" i="3"/>
  <c r="K66" i="3"/>
  <c r="K141" i="3"/>
  <c r="K105" i="3"/>
  <c r="K90" i="3"/>
  <c r="K43" i="3"/>
  <c r="K224" i="3"/>
  <c r="K84" i="3"/>
  <c r="K71" i="3"/>
  <c r="K121" i="3"/>
  <c r="K243" i="3"/>
  <c r="K68" i="3"/>
  <c r="K208" i="3"/>
  <c r="K206" i="3"/>
  <c r="K100" i="3"/>
  <c r="K129" i="3"/>
  <c r="K222" i="3"/>
  <c r="K217" i="3"/>
  <c r="K102" i="3"/>
  <c r="K159" i="3"/>
  <c r="K220" i="3"/>
  <c r="K47" i="3"/>
  <c r="K201" i="3"/>
  <c r="K231" i="3"/>
  <c r="K59" i="3"/>
  <c r="K91" i="3"/>
  <c r="K95" i="3"/>
  <c r="K122" i="3"/>
  <c r="K72" i="3"/>
  <c r="K98" i="3"/>
  <c r="K135" i="3"/>
  <c r="K223" i="3"/>
  <c r="K203" i="3"/>
  <c r="K207" i="3"/>
  <c r="K118" i="3"/>
  <c r="K152" i="3"/>
  <c r="K242" i="3"/>
  <c r="K176" i="3"/>
  <c r="K149" i="3"/>
  <c r="K57" i="3"/>
  <c r="K111" i="3"/>
  <c r="K21" i="3"/>
  <c r="K48" i="3"/>
  <c r="K10" i="3"/>
  <c r="K236" i="3"/>
  <c r="K20" i="3"/>
  <c r="K199" i="3"/>
  <c r="K187" i="3"/>
  <c r="K41" i="3"/>
  <c r="K60" i="3"/>
  <c r="K85" i="3"/>
  <c r="K168" i="3"/>
  <c r="K244" i="3"/>
  <c r="K44" i="3"/>
  <c r="K99" i="3"/>
  <c r="K52" i="3"/>
  <c r="K181" i="3"/>
  <c r="K92" i="3"/>
  <c r="K140" i="3"/>
  <c r="K214" i="3"/>
  <c r="K76" i="3"/>
  <c r="K39" i="3"/>
  <c r="K251" i="3"/>
  <c r="K239" i="3"/>
  <c r="K70" i="3"/>
  <c r="K219" i="3"/>
  <c r="K144" i="3"/>
  <c r="K89" i="3"/>
  <c r="K120" i="3"/>
  <c r="K56" i="3"/>
  <c r="K225" i="3"/>
  <c r="K200" i="3"/>
  <c r="K109" i="3"/>
  <c r="K69" i="3"/>
  <c r="K230" i="3"/>
  <c r="K136" i="3"/>
  <c r="K88" i="3"/>
  <c r="K4" i="3"/>
  <c r="K215" i="3"/>
  <c r="K245" i="3"/>
  <c r="K81" i="3"/>
  <c r="K93" i="3"/>
  <c r="K145" i="3"/>
  <c r="K42" i="3"/>
  <c r="K250" i="3"/>
  <c r="K170" i="3"/>
  <c r="K119" i="3"/>
  <c r="K165" i="3"/>
  <c r="K124" i="3"/>
  <c r="K73" i="3"/>
  <c r="K194" i="3"/>
  <c r="K117" i="3"/>
  <c r="K151" i="3"/>
  <c r="K211" i="3"/>
  <c r="K175" i="3"/>
  <c r="K97" i="3"/>
  <c r="K174" i="3"/>
  <c r="K133" i="3"/>
  <c r="K163" i="3"/>
  <c r="K188" i="3"/>
  <c r="K51" i="3"/>
  <c r="K115" i="3"/>
  <c r="K183" i="3"/>
  <c r="K237" i="3"/>
  <c r="K191" i="3"/>
  <c r="L10" i="3"/>
  <c r="K213" i="3"/>
  <c r="K196" i="3"/>
  <c r="K155" i="3"/>
  <c r="K228" i="3"/>
  <c r="K130" i="3"/>
  <c r="K80" i="3"/>
  <c r="K86" i="3"/>
  <c r="K132" i="3"/>
  <c r="K131" i="3"/>
  <c r="K127" i="3"/>
  <c r="K182" i="3"/>
  <c r="L21" i="3"/>
  <c r="K190" i="3"/>
  <c r="K241" i="3"/>
  <c r="K53" i="3"/>
  <c r="K198" i="3"/>
  <c r="K125" i="3"/>
  <c r="K248" i="3"/>
  <c r="K178" i="3"/>
  <c r="K148" i="3"/>
  <c r="K171" i="3"/>
  <c r="K46" i="3"/>
  <c r="K14" i="3"/>
  <c r="L14" i="3"/>
  <c r="K249" i="3"/>
  <c r="K205" i="3"/>
  <c r="K128" i="3"/>
  <c r="K212" i="3"/>
  <c r="K177" i="3"/>
  <c r="K104" i="3"/>
  <c r="K75" i="3"/>
  <c r="K77" i="3"/>
  <c r="K23" i="3"/>
  <c r="L23" i="3" s="1"/>
  <c r="K229" i="3"/>
  <c r="K197" i="3"/>
  <c r="K101" i="3"/>
  <c r="K233" i="3"/>
  <c r="K156" i="3"/>
  <c r="K247" i="3"/>
  <c r="K137" i="3"/>
  <c r="K142" i="3"/>
  <c r="K189" i="3"/>
  <c r="K82" i="3"/>
  <c r="K24" i="3"/>
  <c r="K218" i="3"/>
  <c r="K153" i="3"/>
  <c r="K150" i="3"/>
  <c r="K227" i="3"/>
  <c r="K160" i="3"/>
  <c r="K173" i="3"/>
  <c r="K162" i="3"/>
  <c r="K158" i="3"/>
  <c r="K146" i="3"/>
  <c r="K238" i="3"/>
  <c r="K106" i="3"/>
  <c r="K184" i="3"/>
  <c r="K11" i="3"/>
  <c r="K161" i="3"/>
  <c r="K22" i="3"/>
  <c r="K185" i="3"/>
  <c r="L24" i="3"/>
  <c r="K195" i="3"/>
  <c r="K9" i="3"/>
  <c r="L9" i="3" s="1"/>
  <c r="L22" i="3"/>
  <c r="K235" i="3"/>
  <c r="L11" i="3"/>
  <c r="H51" i="8"/>
  <c r="H73" i="8"/>
  <c r="H188" i="8"/>
  <c r="H13" i="8"/>
  <c r="H111" i="8"/>
  <c r="H236" i="8"/>
  <c r="H222" i="8"/>
  <c r="H55" i="8"/>
  <c r="H109" i="8"/>
  <c r="H242" i="8"/>
  <c r="H56" i="8"/>
  <c r="H80" i="8"/>
  <c r="H9" i="8"/>
  <c r="H24" i="8"/>
  <c r="H84" i="8"/>
  <c r="H61" i="8"/>
  <c r="H207" i="8"/>
  <c r="H39" i="8"/>
  <c r="H137" i="8"/>
  <c r="H241" i="8"/>
  <c r="H170" i="8"/>
  <c r="H176" i="8"/>
  <c r="H115" i="8"/>
  <c r="H5" i="8"/>
  <c r="H63" i="8"/>
  <c r="H160" i="8"/>
  <c r="H26" i="8"/>
  <c r="H150" i="8"/>
  <c r="H88" i="8"/>
  <c r="H165" i="8"/>
  <c r="H213" i="8"/>
  <c r="H144" i="8"/>
  <c r="H196" i="8"/>
  <c r="H124" i="8"/>
  <c r="H239" i="8"/>
  <c r="H243" i="8"/>
  <c r="H184" i="8"/>
  <c r="H212" i="8"/>
  <c r="H57" i="8"/>
  <c r="H32" i="8"/>
  <c r="H251" i="8"/>
  <c r="H127" i="8"/>
  <c r="H146" i="8"/>
  <c r="H199" i="8"/>
  <c r="H114" i="8"/>
  <c r="H43" i="8"/>
  <c r="H132" i="8"/>
  <c r="H195" i="8"/>
  <c r="H187" i="8"/>
  <c r="H190" i="8"/>
  <c r="H171" i="8"/>
  <c r="H233" i="8"/>
  <c r="H155" i="8"/>
  <c r="H35" i="8"/>
  <c r="H105" i="8"/>
  <c r="H205" i="8"/>
  <c r="H118" i="8"/>
  <c r="H106" i="8"/>
  <c r="H31" i="8"/>
  <c r="H215" i="8"/>
  <c r="H200" i="8"/>
  <c r="H16" i="8"/>
  <c r="H211" i="8"/>
  <c r="H102" i="8"/>
  <c r="H203" i="8"/>
  <c r="H44" i="8"/>
  <c r="H110" i="8"/>
  <c r="H23" i="8"/>
  <c r="H159" i="8"/>
  <c r="H71" i="8"/>
  <c r="H62" i="8"/>
  <c r="H152" i="8"/>
  <c r="H136" i="8"/>
  <c r="H21" i="8"/>
  <c r="H175" i="8"/>
  <c r="H69" i="8"/>
  <c r="H40" i="8"/>
  <c r="H183" i="8"/>
  <c r="H90" i="8"/>
  <c r="H238" i="8"/>
  <c r="H47" i="8"/>
  <c r="H133" i="8"/>
  <c r="H37" i="8"/>
  <c r="H217" i="8"/>
  <c r="H220" i="8"/>
  <c r="H17" i="8"/>
  <c r="H99" i="8"/>
  <c r="H219" i="8"/>
  <c r="H158" i="8"/>
  <c r="H191" i="8"/>
  <c r="H148" i="8"/>
  <c r="H250" i="8"/>
  <c r="H19" i="8"/>
  <c r="H119" i="8"/>
  <c r="H142" i="8"/>
  <c r="H168" i="8"/>
  <c r="H8" i="8"/>
  <c r="H82" i="8"/>
  <c r="H10" i="8"/>
  <c r="H93" i="8"/>
  <c r="H173" i="8"/>
  <c r="H227" i="8"/>
  <c r="H121" i="8"/>
  <c r="H230" i="8"/>
  <c r="H70" i="8"/>
  <c r="H85" i="8"/>
  <c r="H34" i="8"/>
  <c r="H135" i="8"/>
  <c r="H95" i="8"/>
  <c r="H92" i="8"/>
  <c r="H247" i="8"/>
  <c r="H48" i="8"/>
  <c r="H228" i="8"/>
  <c r="H98" i="8"/>
  <c r="H223" i="8"/>
  <c r="H42" i="8"/>
  <c r="H156" i="8"/>
  <c r="H218" i="8"/>
  <c r="H189" i="8"/>
  <c r="H25" i="8"/>
  <c r="H130" i="8"/>
  <c r="H162" i="8"/>
  <c r="H14" i="8"/>
  <c r="H214" i="8"/>
  <c r="H97" i="8"/>
  <c r="H29" i="8"/>
  <c r="H140" i="8"/>
  <c r="H206" i="8"/>
  <c r="H7" i="8"/>
  <c r="H178" i="8"/>
  <c r="H231" i="8"/>
  <c r="H197" i="8"/>
  <c r="H76" i="8"/>
  <c r="H248" i="8"/>
  <c r="H225" i="8"/>
  <c r="H30" i="8"/>
  <c r="H60" i="8"/>
  <c r="H125" i="8"/>
  <c r="H4" i="8"/>
  <c r="H145" i="8"/>
  <c r="H77" i="8"/>
  <c r="H11" i="8"/>
  <c r="H22" i="8"/>
  <c r="H151" i="8"/>
  <c r="H15" i="8"/>
  <c r="H122" i="8"/>
  <c r="H64" i="8"/>
  <c r="H46" i="8"/>
  <c r="H149" i="8"/>
  <c r="H33" i="8"/>
  <c r="H53" i="8"/>
  <c r="H100" i="8"/>
  <c r="H27" i="8"/>
  <c r="H128" i="8"/>
  <c r="H89" i="8"/>
  <c r="H129" i="8"/>
  <c r="H224" i="8"/>
  <c r="H101" i="8"/>
  <c r="H86" i="8"/>
  <c r="H81" i="8"/>
  <c r="H174" i="8"/>
  <c r="H198" i="8"/>
  <c r="H66" i="8"/>
  <c r="H141" i="8"/>
  <c r="H177" i="8"/>
  <c r="H41" i="8"/>
  <c r="H235" i="8"/>
  <c r="H182" i="8"/>
  <c r="H120" i="8"/>
  <c r="H75" i="8"/>
  <c r="H91" i="8"/>
  <c r="H153" i="8"/>
  <c r="H245" i="8"/>
  <c r="H68" i="8"/>
  <c r="H52" i="8"/>
  <c r="H249" i="8"/>
  <c r="H163" i="8"/>
  <c r="H181" i="8"/>
  <c r="H117" i="8"/>
  <c r="H185" i="8"/>
  <c r="H244" i="8"/>
  <c r="H194" i="8"/>
  <c r="H113" i="8"/>
  <c r="H59" i="8"/>
  <c r="H208" i="8"/>
  <c r="H229" i="8"/>
  <c r="H201" i="8"/>
  <c r="H131" i="8"/>
  <c r="H161" i="8"/>
  <c r="H104" i="8"/>
  <c r="H72" i="8"/>
  <c r="H237" i="8"/>
  <c r="H20" i="8"/>
  <c r="J165" i="8" l="1"/>
  <c r="C178" i="3"/>
  <c r="C203" i="3"/>
  <c r="J140" i="8"/>
  <c r="J90" i="8"/>
  <c r="C128" i="3"/>
  <c r="J181" i="8"/>
  <c r="C224" i="3"/>
  <c r="J43" i="8"/>
  <c r="C213" i="3"/>
  <c r="C223" i="3"/>
  <c r="J29" i="8"/>
  <c r="J183" i="8"/>
  <c r="J88" i="8"/>
  <c r="C41" i="3"/>
  <c r="J8" i="8"/>
  <c r="C109" i="3"/>
  <c r="C156" i="3"/>
  <c r="C97" i="3"/>
  <c r="C91" i="3"/>
  <c r="C241" i="3"/>
  <c r="J114" i="8"/>
  <c r="J40" i="8"/>
  <c r="C133" i="3"/>
  <c r="C119" i="3"/>
  <c r="C162" i="3"/>
  <c r="C63" i="3"/>
  <c r="J168" i="8"/>
  <c r="C135" i="3"/>
  <c r="C95" i="3"/>
  <c r="J69" i="8"/>
  <c r="J77" i="8"/>
  <c r="J97" i="8"/>
  <c r="J142" i="8"/>
  <c r="C72" i="3"/>
  <c r="J237" i="8"/>
  <c r="J199" i="8"/>
  <c r="J145" i="8"/>
  <c r="J163" i="8"/>
  <c r="J214" i="8"/>
  <c r="J119" i="8"/>
  <c r="J150" i="8"/>
  <c r="J249" i="8"/>
  <c r="C175" i="3"/>
  <c r="C136" i="3"/>
  <c r="C152" i="3"/>
  <c r="C148" i="3"/>
  <c r="J52" i="8"/>
  <c r="J175" i="8"/>
  <c r="C99" i="3"/>
  <c r="C52" i="3"/>
  <c r="C37" i="3"/>
  <c r="C82" i="3"/>
  <c r="J68" i="8"/>
  <c r="J14" i="8"/>
  <c r="C171" i="3"/>
  <c r="C89" i="3"/>
  <c r="C247" i="3"/>
  <c r="J26" i="8"/>
  <c r="C150" i="3"/>
  <c r="J146" i="8"/>
  <c r="J21" i="8"/>
  <c r="J160" i="8"/>
  <c r="J245" i="8"/>
  <c r="C219" i="3"/>
  <c r="J19" i="8"/>
  <c r="J136" i="8"/>
  <c r="J63" i="8"/>
  <c r="C120" i="3"/>
  <c r="C230" i="3"/>
  <c r="J5" i="8"/>
  <c r="C70" i="3"/>
  <c r="C161" i="3"/>
  <c r="J127" i="8"/>
  <c r="C191" i="3"/>
  <c r="J72" i="8"/>
  <c r="J250" i="8"/>
  <c r="J4" i="8"/>
  <c r="J251" i="8"/>
  <c r="C132" i="3"/>
  <c r="C111" i="3"/>
  <c r="C75" i="3"/>
  <c r="J152" i="8"/>
  <c r="C163" i="3"/>
  <c r="C140" i="3"/>
  <c r="C118" i="3"/>
  <c r="C155" i="3"/>
  <c r="C114" i="3"/>
  <c r="J104" i="8"/>
  <c r="J153" i="8"/>
  <c r="J162" i="8"/>
  <c r="C66" i="3"/>
  <c r="J161" i="8"/>
  <c r="J91" i="8"/>
  <c r="J130" i="8"/>
  <c r="C250" i="3"/>
  <c r="J125" i="8"/>
  <c r="J75" i="8"/>
  <c r="J148" i="8"/>
  <c r="J115" i="8"/>
  <c r="J25" i="8"/>
  <c r="J32" i="8"/>
  <c r="J62" i="8"/>
  <c r="J120" i="8"/>
  <c r="C243" i="3"/>
  <c r="J71" i="8"/>
  <c r="C127" i="3"/>
  <c r="C244" i="3"/>
  <c r="C245" i="3"/>
  <c r="J182" i="8"/>
  <c r="J159" i="8"/>
  <c r="J176" i="8"/>
  <c r="C40" i="3"/>
  <c r="J189" i="8"/>
  <c r="C101" i="3"/>
  <c r="J170" i="8"/>
  <c r="C146" i="3"/>
  <c r="C71" i="3"/>
  <c r="C198" i="3"/>
  <c r="C55" i="3"/>
  <c r="J60" i="8"/>
  <c r="J218" i="8"/>
  <c r="J23" i="8"/>
  <c r="C80" i="3"/>
  <c r="J131" i="8"/>
  <c r="J235" i="8"/>
  <c r="J156" i="8"/>
  <c r="J241" i="8"/>
  <c r="C56" i="3"/>
  <c r="J42" i="8"/>
  <c r="C174" i="3"/>
  <c r="C227" i="3"/>
  <c r="J41" i="8"/>
  <c r="J137" i="8"/>
  <c r="C77" i="3"/>
  <c r="C168" i="3"/>
  <c r="J110" i="8"/>
  <c r="J39" i="8"/>
  <c r="J30" i="8"/>
  <c r="J177" i="8"/>
  <c r="C46" i="3"/>
  <c r="J201" i="8"/>
  <c r="J141" i="8"/>
  <c r="J44" i="8"/>
  <c r="J207" i="8"/>
  <c r="J225" i="8"/>
  <c r="C199" i="3"/>
  <c r="C201" i="3"/>
  <c r="J229" i="8"/>
  <c r="C184" i="3"/>
  <c r="C110" i="3"/>
  <c r="C177" i="3"/>
  <c r="C181" i="3"/>
  <c r="C211" i="3"/>
  <c r="J66" i="8"/>
  <c r="C105" i="3"/>
  <c r="J191" i="8"/>
  <c r="C53" i="3"/>
  <c r="J57" i="8"/>
  <c r="C104" i="3"/>
  <c r="J223" i="8"/>
  <c r="J158" i="8"/>
  <c r="J198" i="8"/>
  <c r="J98" i="8"/>
  <c r="C149" i="3"/>
  <c r="J203" i="8"/>
  <c r="J174" i="8"/>
  <c r="C98" i="3"/>
  <c r="J212" i="8"/>
  <c r="J102" i="8"/>
  <c r="J248" i="8"/>
  <c r="C205" i="3"/>
  <c r="J228" i="8"/>
  <c r="C137" i="3"/>
  <c r="J211" i="8"/>
  <c r="C48" i="3"/>
  <c r="J219" i="8"/>
  <c r="C185" i="3"/>
  <c r="J208" i="8"/>
  <c r="J81" i="8"/>
  <c r="C251" i="3"/>
  <c r="J99" i="8"/>
  <c r="J16" i="8"/>
  <c r="J61" i="8"/>
  <c r="C212" i="3"/>
  <c r="C176" i="3"/>
  <c r="J200" i="8"/>
  <c r="J84" i="8"/>
  <c r="C200" i="3"/>
  <c r="J86" i="8"/>
  <c r="C88" i="3"/>
  <c r="J101" i="8"/>
  <c r="C235" i="3"/>
  <c r="J215" i="8"/>
  <c r="C76" i="3"/>
  <c r="J224" i="8"/>
  <c r="J48" i="8"/>
  <c r="C141" i="3"/>
  <c r="J129" i="8"/>
  <c r="C51" i="3"/>
  <c r="J31" i="8"/>
  <c r="J24" i="8"/>
  <c r="C106" i="3"/>
  <c r="J184" i="8"/>
  <c r="C125" i="3"/>
  <c r="C85" i="3"/>
  <c r="C73" i="3"/>
  <c r="J106" i="8"/>
  <c r="C113" i="3"/>
  <c r="J89" i="8"/>
  <c r="C207" i="3"/>
  <c r="J9" i="8"/>
  <c r="C86" i="3"/>
  <c r="C194" i="3"/>
  <c r="C159" i="3"/>
  <c r="J80" i="8"/>
  <c r="C228" i="3"/>
  <c r="J128" i="8"/>
  <c r="J17" i="8"/>
  <c r="J56" i="8"/>
  <c r="J247" i="8"/>
  <c r="J243" i="8"/>
  <c r="C115" i="3"/>
  <c r="C165" i="3"/>
  <c r="J27" i="8"/>
  <c r="C145" i="3"/>
  <c r="C131" i="3"/>
  <c r="C239" i="3"/>
  <c r="J92" i="8"/>
  <c r="J242" i="8"/>
  <c r="C182" i="3"/>
  <c r="J100" i="8"/>
  <c r="C102" i="3"/>
  <c r="C187" i="3"/>
  <c r="J220" i="8"/>
  <c r="C183" i="3"/>
  <c r="J239" i="8"/>
  <c r="J118" i="8"/>
  <c r="C249" i="3"/>
  <c r="J76" i="8"/>
  <c r="J53" i="8"/>
  <c r="C197" i="3"/>
  <c r="J217" i="8"/>
  <c r="J205" i="8"/>
  <c r="C236" i="3"/>
  <c r="J109" i="8"/>
  <c r="J59" i="8"/>
  <c r="J33" i="8"/>
  <c r="J105" i="8"/>
  <c r="J55" i="8"/>
  <c r="J197" i="8"/>
  <c r="C217" i="3"/>
  <c r="J95" i="8"/>
  <c r="J124" i="8"/>
  <c r="J35" i="8"/>
  <c r="C47" i="3"/>
  <c r="C208" i="3"/>
  <c r="C233" i="3"/>
  <c r="C62" i="3"/>
  <c r="C43" i="3"/>
  <c r="J231" i="8"/>
  <c r="C206" i="3"/>
  <c r="J135" i="8"/>
  <c r="J113" i="8"/>
  <c r="J222" i="8"/>
  <c r="C248" i="3"/>
  <c r="J37" i="8"/>
  <c r="C196" i="3"/>
  <c r="J34" i="8"/>
  <c r="J196" i="8"/>
  <c r="C225" i="3"/>
  <c r="J85" i="8"/>
  <c r="J236" i="8"/>
  <c r="J194" i="8"/>
  <c r="C160" i="3"/>
  <c r="C44" i="3"/>
  <c r="J155" i="8"/>
  <c r="C190" i="3"/>
  <c r="C188" i="3"/>
  <c r="C229" i="3"/>
  <c r="C60" i="3"/>
  <c r="J111" i="8"/>
  <c r="C117" i="3"/>
  <c r="C214" i="3"/>
  <c r="J133" i="8"/>
  <c r="C189" i="3"/>
  <c r="J149" i="8"/>
  <c r="C92" i="3"/>
  <c r="C231" i="3"/>
  <c r="J70" i="8"/>
  <c r="C39" i="3"/>
  <c r="C100" i="3"/>
  <c r="C153" i="3"/>
  <c r="J230" i="8"/>
  <c r="C61" i="3"/>
  <c r="J144" i="8"/>
  <c r="J233" i="8"/>
  <c r="J13" i="8"/>
  <c r="C129" i="3"/>
  <c r="C81" i="3"/>
  <c r="C242" i="3"/>
  <c r="C90" i="3"/>
  <c r="J178" i="8"/>
  <c r="J46" i="8"/>
  <c r="J121" i="8"/>
  <c r="C151" i="3"/>
  <c r="J244" i="8"/>
  <c r="J64" i="8"/>
  <c r="J227" i="8"/>
  <c r="J171" i="8"/>
  <c r="C68" i="3"/>
  <c r="J7" i="8"/>
  <c r="C237" i="3"/>
  <c r="J173" i="8"/>
  <c r="C222" i="3"/>
  <c r="C170" i="3"/>
  <c r="J190" i="8"/>
  <c r="C218" i="3"/>
  <c r="J122" i="8"/>
  <c r="J93" i="8"/>
  <c r="J187" i="8"/>
  <c r="C215" i="3"/>
  <c r="J15" i="8"/>
  <c r="C57" i="3"/>
  <c r="J188" i="8"/>
  <c r="J185" i="8"/>
  <c r="J151" i="8"/>
  <c r="C195" i="3"/>
  <c r="J47" i="8"/>
  <c r="C173" i="3"/>
  <c r="C144" i="3"/>
  <c r="J10" i="8"/>
  <c r="C220" i="3"/>
  <c r="J73" i="8"/>
  <c r="J117" i="8"/>
  <c r="J213" i="8"/>
  <c r="J238" i="8"/>
  <c r="C142" i="3"/>
  <c r="J22" i="8"/>
  <c r="C84" i="3"/>
  <c r="C238" i="3"/>
  <c r="J206" i="8"/>
  <c r="C69" i="3"/>
  <c r="J195" i="8"/>
  <c r="C93" i="3"/>
  <c r="C124" i="3"/>
  <c r="C42" i="3"/>
  <c r="J51" i="8"/>
  <c r="J20" i="8"/>
  <c r="C158" i="3"/>
  <c r="J82" i="8"/>
  <c r="J132" i="8"/>
  <c r="C59" i="3"/>
  <c r="C64" i="3"/>
  <c r="J11" i="8"/>
  <c r="C130" i="3"/>
  <c r="C121" i="3"/>
  <c r="C122" i="3"/>
  <c r="N25" i="2"/>
  <c r="K25" i="3"/>
  <c r="L199" i="3"/>
  <c r="L178" i="3"/>
  <c r="L224" i="3"/>
  <c r="L91" i="3"/>
  <c r="L162" i="3"/>
  <c r="L175" i="3"/>
  <c r="L99" i="3"/>
  <c r="L171" i="3"/>
  <c r="L132" i="3"/>
  <c r="L118" i="3"/>
  <c r="L66" i="3"/>
  <c r="L30" i="3"/>
  <c r="L110" i="3"/>
  <c r="L98" i="3"/>
  <c r="L137" i="3"/>
  <c r="L176" i="3"/>
  <c r="L141" i="3"/>
  <c r="L249" i="3"/>
  <c r="L188" i="3"/>
  <c r="K15" i="3"/>
  <c r="L20" i="3"/>
  <c r="L203" i="3"/>
  <c r="L41" i="3"/>
  <c r="L241" i="3"/>
  <c r="L63" i="3"/>
  <c r="L136" i="3"/>
  <c r="L89" i="3"/>
  <c r="L120" i="3"/>
  <c r="L191" i="3"/>
  <c r="L111" i="3"/>
  <c r="L155" i="3"/>
  <c r="L243" i="3"/>
  <c r="L146" i="3"/>
  <c r="L56" i="3"/>
  <c r="L177" i="3"/>
  <c r="L53" i="3"/>
  <c r="L251" i="3"/>
  <c r="L235" i="3"/>
  <c r="L125" i="3"/>
  <c r="L207" i="3"/>
  <c r="L228" i="3"/>
  <c r="L115" i="3"/>
  <c r="K26" i="3"/>
  <c r="L206" i="3"/>
  <c r="L196" i="3"/>
  <c r="L229" i="3"/>
  <c r="L189" i="3"/>
  <c r="L100" i="3"/>
  <c r="L222" i="3"/>
  <c r="L220" i="3"/>
  <c r="L93" i="3"/>
  <c r="L121" i="3"/>
  <c r="L90" i="3"/>
  <c r="L245" i="3"/>
  <c r="L47" i="3"/>
  <c r="L213" i="3"/>
  <c r="L152" i="3"/>
  <c r="L37" i="3"/>
  <c r="L247" i="3"/>
  <c r="L230" i="3"/>
  <c r="L75" i="3"/>
  <c r="L71" i="3"/>
  <c r="L80" i="3"/>
  <c r="L77" i="3"/>
  <c r="L46" i="3"/>
  <c r="L181" i="3"/>
  <c r="L149" i="3"/>
  <c r="L48" i="3"/>
  <c r="L51" i="3"/>
  <c r="L85" i="3"/>
  <c r="L165" i="3"/>
  <c r="L183" i="3"/>
  <c r="L208" i="3"/>
  <c r="L160" i="3"/>
  <c r="L60" i="3"/>
  <c r="L153" i="3"/>
  <c r="L170" i="3"/>
  <c r="L215" i="3"/>
  <c r="L195" i="3"/>
  <c r="L84" i="3"/>
  <c r="L124" i="3"/>
  <c r="L122" i="3"/>
  <c r="L130" i="3"/>
  <c r="L4" i="3"/>
  <c r="L8" i="3"/>
  <c r="L223" i="3"/>
  <c r="L109" i="3"/>
  <c r="L135" i="3"/>
  <c r="L72" i="3"/>
  <c r="L148" i="3"/>
  <c r="L82" i="3"/>
  <c r="L219" i="3"/>
  <c r="L127" i="3"/>
  <c r="L40" i="3"/>
  <c r="L198" i="3"/>
  <c r="L174" i="3"/>
  <c r="L168" i="3"/>
  <c r="L201" i="3"/>
  <c r="L211" i="3"/>
  <c r="L104" i="3"/>
  <c r="L200" i="3"/>
  <c r="L76" i="3"/>
  <c r="L73" i="3"/>
  <c r="L86" i="3"/>
  <c r="L182" i="3"/>
  <c r="L27" i="3"/>
  <c r="L197" i="3"/>
  <c r="L217" i="3"/>
  <c r="L233" i="3"/>
  <c r="L44" i="3"/>
  <c r="L92" i="3"/>
  <c r="L129" i="3"/>
  <c r="L68" i="3"/>
  <c r="L238" i="3"/>
  <c r="L42" i="3"/>
  <c r="L59" i="3"/>
  <c r="L236" i="3"/>
  <c r="L142" i="3"/>
  <c r="L52" i="3"/>
  <c r="K114" i="3"/>
  <c r="L128" i="3"/>
  <c r="L156" i="3"/>
  <c r="L133" i="3"/>
  <c r="L95" i="3"/>
  <c r="L150" i="3"/>
  <c r="L70" i="3"/>
  <c r="L163" i="3"/>
  <c r="L250" i="3"/>
  <c r="L244" i="3"/>
  <c r="L227" i="3"/>
  <c r="L205" i="3"/>
  <c r="L185" i="3"/>
  <c r="L194" i="3"/>
  <c r="L145" i="3"/>
  <c r="L62" i="3"/>
  <c r="L225" i="3"/>
  <c r="L117" i="3"/>
  <c r="L231" i="3"/>
  <c r="L7" i="3"/>
  <c r="L81" i="3"/>
  <c r="L151" i="3"/>
  <c r="L218" i="3"/>
  <c r="L57" i="3"/>
  <c r="L173" i="3"/>
  <c r="L64" i="3"/>
  <c r="L158" i="3"/>
  <c r="L187" i="3"/>
  <c r="L97" i="3"/>
  <c r="L119" i="3"/>
  <c r="L161" i="3"/>
  <c r="L140" i="3"/>
  <c r="L101" i="3"/>
  <c r="L184" i="3"/>
  <c r="L105" i="3"/>
  <c r="L29" i="3"/>
  <c r="L212" i="3"/>
  <c r="L88" i="3"/>
  <c r="L106" i="3"/>
  <c r="L159" i="3"/>
  <c r="L131" i="3"/>
  <c r="L102" i="3"/>
  <c r="L32" i="3"/>
  <c r="L43" i="3"/>
  <c r="L248" i="3"/>
  <c r="L190" i="3"/>
  <c r="L214" i="3"/>
  <c r="L61" i="3"/>
  <c r="L242" i="3"/>
  <c r="L237" i="3"/>
  <c r="L144" i="3"/>
  <c r="L69" i="3"/>
  <c r="L239" i="3"/>
  <c r="L39" i="3"/>
  <c r="L25" i="3"/>
  <c r="L15" i="3"/>
  <c r="N211" i="3"/>
  <c r="N30" i="3"/>
  <c r="N62" i="3"/>
  <c r="N176" i="3"/>
  <c r="N89" i="3"/>
  <c r="N241" i="3"/>
  <c r="N60" i="3"/>
  <c r="N224" i="3"/>
  <c r="N218" i="3"/>
  <c r="N191" i="3"/>
  <c r="N88" i="3"/>
  <c r="N25" i="3"/>
  <c r="N48" i="3"/>
  <c r="N125" i="3"/>
  <c r="N102" i="3"/>
  <c r="N17" i="3"/>
  <c r="M17" i="3" s="1"/>
  <c r="N16" i="3" s="1"/>
  <c r="M16" i="3" s="1"/>
  <c r="N15" i="3" s="1"/>
  <c r="N156" i="3"/>
  <c r="N142" i="3"/>
  <c r="N194" i="3"/>
  <c r="N223" i="3"/>
  <c r="N86" i="3"/>
  <c r="N185" i="3"/>
  <c r="N148" i="3"/>
  <c r="N177" i="3"/>
  <c r="N178" i="3"/>
  <c r="N73" i="3"/>
  <c r="N118" i="3"/>
  <c r="N201" i="3"/>
  <c r="N33" i="3"/>
  <c r="N168" i="3"/>
  <c r="N247" i="3"/>
  <c r="N11" i="3"/>
  <c r="N197" i="3"/>
  <c r="N229" i="3"/>
  <c r="N29" i="3"/>
  <c r="N249" i="3"/>
  <c r="N82" i="3"/>
  <c r="N68" i="3"/>
  <c r="N227" i="3"/>
  <c r="N225" i="3"/>
  <c r="N32" i="3"/>
  <c r="N190" i="3"/>
  <c r="N133" i="3"/>
  <c r="N220" i="3"/>
  <c r="N57" i="3"/>
  <c r="N203" i="3"/>
  <c r="N31" i="3"/>
  <c r="N198" i="3"/>
  <c r="N77" i="3"/>
  <c r="N158" i="3"/>
  <c r="N195" i="3"/>
  <c r="N27" i="3"/>
  <c r="N26" i="3"/>
  <c r="N214" i="3"/>
  <c r="N127" i="3"/>
  <c r="N165" i="3"/>
  <c r="N235" i="3"/>
  <c r="N213" i="3"/>
  <c r="N205" i="3"/>
  <c r="N34" i="3"/>
  <c r="N222" i="3"/>
  <c r="N4" i="3"/>
  <c r="N59" i="3"/>
  <c r="N97" i="3"/>
  <c r="N115" i="3"/>
  <c r="N146" i="3"/>
  <c r="N217" i="3"/>
  <c r="N63" i="3"/>
  <c r="N53" i="3"/>
  <c r="N44" i="3"/>
  <c r="N236" i="3"/>
  <c r="N137" i="3"/>
  <c r="N121" i="3"/>
  <c r="N251" i="3"/>
  <c r="N163" i="3"/>
  <c r="N132" i="3"/>
  <c r="N171" i="3"/>
  <c r="N120" i="3"/>
  <c r="N174" i="3"/>
  <c r="N173" i="3"/>
  <c r="N117" i="3"/>
  <c r="N243" i="3"/>
  <c r="N106" i="3"/>
  <c r="N92" i="3"/>
  <c r="N207" i="3"/>
  <c r="N219" i="3"/>
  <c r="N39" i="3"/>
  <c r="N228" i="3"/>
  <c r="N245" i="3"/>
  <c r="N215" i="3"/>
  <c r="N111" i="3"/>
  <c r="N91" i="3"/>
  <c r="N206" i="3"/>
  <c r="N196" i="3"/>
  <c r="N244" i="3"/>
  <c r="N233" i="3"/>
  <c r="N152" i="3"/>
  <c r="N149" i="3"/>
  <c r="N200" i="3"/>
  <c r="N230" i="3"/>
  <c r="N151" i="3"/>
  <c r="N212" i="3"/>
  <c r="N208" i="3"/>
  <c r="N250" i="3"/>
  <c r="N184" i="3"/>
  <c r="N35" i="3"/>
  <c r="N231" i="3"/>
  <c r="N199" i="3"/>
  <c r="V12" i="3"/>
  <c r="M211" i="3"/>
  <c r="O211" i="3"/>
  <c r="M30" i="3"/>
  <c r="O30" i="3"/>
  <c r="M62" i="3"/>
  <c r="O62" i="3"/>
  <c r="M176" i="3"/>
  <c r="O176" i="3"/>
  <c r="M89" i="3"/>
  <c r="O89" i="3"/>
  <c r="O241" i="3"/>
  <c r="M241" i="3"/>
  <c r="N242" i="3" s="1"/>
  <c r="M60" i="3"/>
  <c r="O60" i="3"/>
  <c r="M224" i="3"/>
  <c r="O224" i="3"/>
  <c r="O218" i="3"/>
  <c r="M218" i="3"/>
  <c r="M191" i="3"/>
  <c r="O191" i="3"/>
  <c r="M88" i="3"/>
  <c r="N90" i="3" s="1"/>
  <c r="O88" i="3"/>
  <c r="O25" i="3"/>
  <c r="M25" i="3"/>
  <c r="N24" i="3" s="1"/>
  <c r="M48" i="3"/>
  <c r="N46" i="3" s="1"/>
  <c r="O48" i="3"/>
  <c r="O125" i="3"/>
  <c r="M125" i="3"/>
  <c r="M102" i="3"/>
  <c r="O102" i="3"/>
  <c r="O15" i="3"/>
  <c r="M15" i="3"/>
  <c r="N14" i="3" s="1"/>
  <c r="O156" i="3"/>
  <c r="M156" i="3"/>
  <c r="M142" i="3"/>
  <c r="N140" i="3" s="1"/>
  <c r="O142" i="3"/>
  <c r="M194" i="3"/>
  <c r="O194" i="3"/>
  <c r="M223" i="3"/>
  <c r="O223" i="3"/>
  <c r="M86" i="3"/>
  <c r="N84" i="3" s="1"/>
  <c r="O86" i="3"/>
  <c r="O185" i="3"/>
  <c r="M185" i="3"/>
  <c r="O148" i="3"/>
  <c r="M148" i="3"/>
  <c r="M177" i="3"/>
  <c r="O177" i="3"/>
  <c r="M178" i="3"/>
  <c r="O178" i="3"/>
  <c r="M73" i="3"/>
  <c r="O73" i="3"/>
  <c r="M118" i="3"/>
  <c r="O118" i="3"/>
  <c r="M201" i="3"/>
  <c r="O201" i="3"/>
  <c r="O33" i="3"/>
  <c r="M33" i="3"/>
  <c r="M168" i="3"/>
  <c r="O168" i="3"/>
  <c r="M247" i="3"/>
  <c r="N248" i="3" s="1"/>
  <c r="O247" i="3"/>
  <c r="O11" i="3"/>
  <c r="M11" i="3"/>
  <c r="N10" i="3" s="1"/>
  <c r="O197" i="3"/>
  <c r="M197" i="3"/>
  <c r="O229" i="3"/>
  <c r="M229" i="3"/>
  <c r="M29" i="3"/>
  <c r="O29" i="3"/>
  <c r="O249" i="3"/>
  <c r="M249" i="3"/>
  <c r="O82" i="3"/>
  <c r="M82" i="3"/>
  <c r="N80" i="3" s="1"/>
  <c r="M68" i="3"/>
  <c r="O68" i="3"/>
  <c r="M227" i="3"/>
  <c r="O227" i="3"/>
  <c r="M225" i="3"/>
  <c r="O225" i="3"/>
  <c r="M32" i="3"/>
  <c r="O32" i="3"/>
  <c r="M190" i="3"/>
  <c r="N189" i="3" s="1"/>
  <c r="O190" i="3"/>
  <c r="M133" i="3"/>
  <c r="O133" i="3"/>
  <c r="M220" i="3"/>
  <c r="O220" i="3"/>
  <c r="M57" i="3"/>
  <c r="N55" i="3" s="1"/>
  <c r="M55" i="3" s="1"/>
  <c r="O57" i="3"/>
  <c r="M203" i="3"/>
  <c r="O203" i="3"/>
  <c r="O31" i="3"/>
  <c r="M31" i="3"/>
  <c r="M198" i="3"/>
  <c r="O198" i="3"/>
  <c r="O77" i="3"/>
  <c r="M77" i="3"/>
  <c r="N75" i="3" s="1"/>
  <c r="O158" i="3"/>
  <c r="M158" i="3"/>
  <c r="O195" i="3"/>
  <c r="M195" i="3"/>
  <c r="O27" i="3"/>
  <c r="M27" i="3"/>
  <c r="O26" i="3"/>
  <c r="M26" i="3"/>
  <c r="M214" i="3"/>
  <c r="O214" i="3"/>
  <c r="M127" i="3"/>
  <c r="O127" i="3"/>
  <c r="M165" i="3"/>
  <c r="O165" i="3"/>
  <c r="M235" i="3"/>
  <c r="O235" i="3"/>
  <c r="O213" i="3"/>
  <c r="M213" i="3"/>
  <c r="M205" i="3"/>
  <c r="O205" i="3"/>
  <c r="M34" i="3"/>
  <c r="O34" i="3"/>
  <c r="M222" i="3"/>
  <c r="O222" i="3"/>
  <c r="O4" i="3"/>
  <c r="M4" i="3"/>
  <c r="N5" i="3" s="1"/>
  <c r="M59" i="3"/>
  <c r="N61" i="3" s="1"/>
  <c r="O59" i="3"/>
  <c r="M97" i="3"/>
  <c r="O97" i="3"/>
  <c r="M115" i="3"/>
  <c r="N113" i="3" s="1"/>
  <c r="M113" i="3" s="1"/>
  <c r="O115" i="3"/>
  <c r="O146" i="3"/>
  <c r="M146" i="3"/>
  <c r="N144" i="3" s="1"/>
  <c r="M217" i="3"/>
  <c r="O217" i="3"/>
  <c r="M63" i="3"/>
  <c r="O63" i="3"/>
  <c r="O53" i="3"/>
  <c r="M53" i="3"/>
  <c r="N51" i="3" s="1"/>
  <c r="M44" i="3"/>
  <c r="O44" i="3"/>
  <c r="M236" i="3"/>
  <c r="N237" i="3" s="1"/>
  <c r="O236" i="3"/>
  <c r="M137" i="3"/>
  <c r="N135" i="3" s="1"/>
  <c r="O137" i="3"/>
  <c r="M121" i="3"/>
  <c r="O121" i="3"/>
  <c r="M251" i="3"/>
  <c r="O251" i="3"/>
  <c r="M163" i="3"/>
  <c r="O163" i="3"/>
  <c r="M132" i="3"/>
  <c r="O132" i="3"/>
  <c r="M171" i="3"/>
  <c r="N170" i="3" s="1"/>
  <c r="O171" i="3"/>
  <c r="M120" i="3"/>
  <c r="O120" i="3"/>
  <c r="M174" i="3"/>
  <c r="O174" i="3"/>
  <c r="M173" i="3"/>
  <c r="N175" i="3" s="1"/>
  <c r="O173" i="3"/>
  <c r="M117" i="3"/>
  <c r="N119" i="3" s="1"/>
  <c r="O117" i="3"/>
  <c r="M243" i="3"/>
  <c r="O243" i="3"/>
  <c r="O106" i="3"/>
  <c r="M106" i="3"/>
  <c r="N104" i="3" s="1"/>
  <c r="M92" i="3"/>
  <c r="O92" i="3"/>
  <c r="M207" i="3"/>
  <c r="O207" i="3"/>
  <c r="M219" i="3"/>
  <c r="O219" i="3"/>
  <c r="M39" i="3"/>
  <c r="O39" i="3"/>
  <c r="M228" i="3"/>
  <c r="O228" i="3"/>
  <c r="M245" i="3"/>
  <c r="O245" i="3"/>
  <c r="M215" i="3"/>
  <c r="O215" i="3"/>
  <c r="M111" i="3"/>
  <c r="N109" i="3" s="1"/>
  <c r="O111" i="3"/>
  <c r="M91" i="3"/>
  <c r="O91" i="3"/>
  <c r="M206" i="3"/>
  <c r="O206" i="3"/>
  <c r="M196" i="3"/>
  <c r="O196" i="3"/>
  <c r="M244" i="3"/>
  <c r="O244" i="3"/>
  <c r="M233" i="3"/>
  <c r="O233" i="3"/>
  <c r="M152" i="3"/>
  <c r="O152" i="3"/>
  <c r="M149" i="3"/>
  <c r="N150" i="3" s="1"/>
  <c r="O149" i="3"/>
  <c r="M200" i="3"/>
  <c r="O200" i="3"/>
  <c r="M230" i="3"/>
  <c r="O230" i="3"/>
  <c r="M151" i="3"/>
  <c r="O151" i="3"/>
  <c r="M212" i="3"/>
  <c r="O212" i="3"/>
  <c r="M208" i="3"/>
  <c r="O208" i="3"/>
  <c r="M250" i="3"/>
  <c r="O250" i="3"/>
  <c r="O184" i="3"/>
  <c r="M184" i="3"/>
  <c r="N183" i="3" s="1"/>
  <c r="M35" i="3"/>
  <c r="O35" i="3"/>
  <c r="M231" i="3"/>
  <c r="O231" i="3"/>
  <c r="M199" i="3"/>
  <c r="O199" i="3"/>
  <c r="T11" i="3"/>
  <c r="T8" i="3"/>
  <c r="T12" i="3"/>
  <c r="V8" i="3"/>
  <c r="T10" i="3"/>
  <c r="T9" i="3"/>
  <c r="M242" i="3"/>
  <c r="O242" i="3"/>
  <c r="M90" i="3"/>
  <c r="N93" i="3" s="1"/>
  <c r="O90" i="3"/>
  <c r="M24" i="3"/>
  <c r="N23" i="3" s="1"/>
  <c r="O24" i="3"/>
  <c r="M46" i="3"/>
  <c r="N47" i="3" s="1"/>
  <c r="O46" i="3"/>
  <c r="N101" i="3"/>
  <c r="N100" i="3"/>
  <c r="N98" i="3"/>
  <c r="M14" i="3"/>
  <c r="N13" i="3" s="1"/>
  <c r="O14" i="3"/>
  <c r="M140" i="3"/>
  <c r="O140" i="3"/>
  <c r="M84" i="3"/>
  <c r="O84" i="3"/>
  <c r="N155" i="3"/>
  <c r="O155" i="3" s="1"/>
  <c r="N69" i="3"/>
  <c r="N72" i="3"/>
  <c r="N71" i="3"/>
  <c r="M248" i="3"/>
  <c r="O248" i="3"/>
  <c r="M10" i="3"/>
  <c r="N9" i="3" s="1"/>
  <c r="O10" i="3"/>
  <c r="M80" i="3"/>
  <c r="O80" i="3"/>
  <c r="O189" i="3"/>
  <c r="M189" i="3"/>
  <c r="N188" i="3" s="1"/>
  <c r="N131" i="3"/>
  <c r="N128" i="3"/>
  <c r="N130" i="3"/>
  <c r="M75" i="3"/>
  <c r="N76" i="3" s="1"/>
  <c r="O75" i="3"/>
  <c r="M5" i="3"/>
  <c r="O5" i="3"/>
  <c r="O61" i="3"/>
  <c r="M61" i="3"/>
  <c r="N64" i="3" s="1"/>
  <c r="M144" i="3"/>
  <c r="O144" i="3"/>
  <c r="M51" i="3"/>
  <c r="O51" i="3"/>
  <c r="N43" i="3"/>
  <c r="N42" i="3"/>
  <c r="N40" i="3"/>
  <c r="M237" i="3"/>
  <c r="N238" i="3" s="1"/>
  <c r="O237" i="3"/>
  <c r="M135" i="3"/>
  <c r="N136" i="3" s="1"/>
  <c r="O135" i="3"/>
  <c r="N159" i="3"/>
  <c r="N161" i="3"/>
  <c r="N162" i="3"/>
  <c r="M170" i="3"/>
  <c r="O170" i="3"/>
  <c r="M175" i="3"/>
  <c r="M155" i="3" s="1"/>
  <c r="O175" i="3"/>
  <c r="O119" i="3"/>
  <c r="M119" i="3"/>
  <c r="M104" i="3"/>
  <c r="N105" i="3" s="1"/>
  <c r="O104" i="3"/>
  <c r="M109" i="3"/>
  <c r="O109" i="3"/>
  <c r="M150" i="3"/>
  <c r="N153" i="3" s="1"/>
  <c r="O150" i="3"/>
  <c r="N124" i="3"/>
  <c r="O124" i="3" s="1"/>
  <c r="M124" i="3"/>
  <c r="N122" i="3" s="1"/>
  <c r="O183" i="3"/>
  <c r="M183" i="3"/>
  <c r="N182" i="3" s="1"/>
  <c r="O93" i="3"/>
  <c r="M93" i="3"/>
  <c r="M23" i="3"/>
  <c r="N22" i="3" s="1"/>
  <c r="O23" i="3"/>
  <c r="M47" i="3"/>
  <c r="N56" i="3" s="1"/>
  <c r="O47" i="3"/>
  <c r="O101" i="3"/>
  <c r="M101" i="3"/>
  <c r="M100" i="3"/>
  <c r="N99" i="3" s="1"/>
  <c r="O100" i="3"/>
  <c r="M98" i="3"/>
  <c r="O98" i="3"/>
  <c r="O13" i="3"/>
  <c r="M13" i="3"/>
  <c r="M69" i="3"/>
  <c r="O69" i="3"/>
  <c r="O72" i="3"/>
  <c r="M72" i="3"/>
  <c r="O71" i="3"/>
  <c r="M71" i="3"/>
  <c r="N70" i="3" s="1"/>
  <c r="M9" i="3"/>
  <c r="N8" i="3" s="1"/>
  <c r="O9" i="3"/>
  <c r="O188" i="3"/>
  <c r="M188" i="3"/>
  <c r="N187" i="3" s="1"/>
  <c r="O131" i="3"/>
  <c r="M131" i="3"/>
  <c r="O128" i="3"/>
  <c r="M128" i="3"/>
  <c r="M130" i="3"/>
  <c r="N129" i="3" s="1"/>
  <c r="O130" i="3"/>
  <c r="M76" i="3"/>
  <c r="N85" i="3" s="1"/>
  <c r="O76" i="3"/>
  <c r="O64" i="3"/>
  <c r="M64" i="3"/>
  <c r="M43" i="3"/>
  <c r="O43" i="3"/>
  <c r="O42" i="3"/>
  <c r="M42" i="3"/>
  <c r="N41" i="3" s="1"/>
  <c r="O40" i="3"/>
  <c r="M40" i="3"/>
  <c r="M238" i="3"/>
  <c r="N239" i="3" s="1"/>
  <c r="O238" i="3"/>
  <c r="M136" i="3"/>
  <c r="N145" i="3" s="1"/>
  <c r="O136" i="3"/>
  <c r="O159" i="3"/>
  <c r="M159" i="3"/>
  <c r="O161" i="3"/>
  <c r="M161" i="3"/>
  <c r="O162" i="3"/>
  <c r="M162" i="3"/>
  <c r="N160" i="3" s="1"/>
  <c r="M105" i="3"/>
  <c r="N114" i="3" s="1"/>
  <c r="O105" i="3"/>
  <c r="M153" i="3"/>
  <c r="O153" i="3"/>
  <c r="M122" i="3"/>
  <c r="O122" i="3"/>
  <c r="M182" i="3"/>
  <c r="N181" i="3" s="1"/>
  <c r="O182" i="3"/>
  <c r="N66" i="3"/>
  <c r="O66" i="3" s="1"/>
  <c r="M66" i="3"/>
  <c r="M22" i="3"/>
  <c r="N21" i="3" s="1"/>
  <c r="O22" i="3"/>
  <c r="M56" i="3"/>
  <c r="O56" i="3"/>
  <c r="M99" i="3"/>
  <c r="O99" i="3"/>
  <c r="M70" i="3"/>
  <c r="O70" i="3"/>
  <c r="M8" i="3"/>
  <c r="N7" i="3" s="1"/>
  <c r="O8" i="3"/>
  <c r="M187" i="3"/>
  <c r="O187" i="3"/>
  <c r="M129" i="3"/>
  <c r="O129" i="3"/>
  <c r="M85" i="3"/>
  <c r="O85" i="3"/>
  <c r="M41" i="3"/>
  <c r="O41" i="3"/>
  <c r="M239" i="3"/>
  <c r="N37" i="3" s="1"/>
  <c r="O239" i="3"/>
  <c r="O145" i="3"/>
  <c r="M145" i="3"/>
  <c r="N141" i="3" s="1"/>
  <c r="O160" i="3"/>
  <c r="M160" i="3"/>
  <c r="O114" i="3"/>
  <c r="M114" i="3"/>
  <c r="N95" i="3"/>
  <c r="M181" i="3"/>
  <c r="O181" i="3"/>
  <c r="O21" i="3"/>
  <c r="M21" i="3"/>
  <c r="N20" i="3" s="1"/>
  <c r="N52" i="3"/>
  <c r="O52" i="3" s="1"/>
  <c r="M52" i="3"/>
  <c r="O7" i="3"/>
  <c r="M7" i="3"/>
  <c r="N81" i="3"/>
  <c r="M37" i="3"/>
  <c r="O37" i="3"/>
  <c r="O141" i="3"/>
  <c r="M141" i="3"/>
  <c r="N110" i="3"/>
  <c r="O110" i="3" s="1"/>
  <c r="M110" i="3"/>
  <c r="M95" i="3"/>
  <c r="O95" i="3"/>
  <c r="O20" i="3"/>
  <c r="M20" i="3"/>
  <c r="N19" i="3" s="1"/>
  <c r="M81" i="3"/>
  <c r="O81" i="3"/>
  <c r="M19" i="3"/>
  <c r="O19" i="3"/>
  <c r="BD16" i="12" l="1"/>
  <c r="BD17" i="12"/>
  <c r="V13" i="3"/>
  <c r="B1" i="12" s="1"/>
  <c r="BD19" i="12"/>
  <c r="BD18" i="12"/>
  <c r="BD20" i="12"/>
  <c r="K16" i="3"/>
  <c r="L26" i="3"/>
  <c r="L114" i="3"/>
  <c r="K55" i="3"/>
  <c r="O16" i="3"/>
  <c r="L16" i="3"/>
  <c r="O55" i="3"/>
  <c r="K17" i="3"/>
  <c r="K113" i="3"/>
  <c r="L55" i="3"/>
  <c r="L17" i="3"/>
  <c r="O17" i="3"/>
  <c r="L113" i="3"/>
  <c r="O113" i="3"/>
</calcChain>
</file>

<file path=xl/sharedStrings.xml><?xml version="1.0" encoding="utf-8"?>
<sst xmlns="http://schemas.openxmlformats.org/spreadsheetml/2006/main" count="11390" uniqueCount="1492">
  <si>
    <t>1</t>
  </si>
  <si>
    <t>3</t>
  </si>
  <si>
    <t>6</t>
  </si>
  <si>
    <t>9</t>
  </si>
  <si>
    <t>วันเริ่มโครงการ</t>
  </si>
  <si>
    <t>วันสิ้นสุดโครงการ</t>
  </si>
  <si>
    <t>วันหยุด</t>
  </si>
  <si>
    <t>Date output</t>
  </si>
  <si>
    <t>mmm dd 'yy</t>
  </si>
  <si>
    <t>*mm/dd/yy</t>
  </si>
  <si>
    <t>RRH</t>
  </si>
  <si>
    <t>RID</t>
  </si>
  <si>
    <t>Mx</t>
  </si>
  <si>
    <t>MRD</t>
  </si>
  <si>
    <t>T</t>
  </si>
  <si>
    <t>Step 1.</t>
  </si>
  <si>
    <t>องค์ประกอบในการตัดสินใจ</t>
  </si>
  <si>
    <t>ผลรวม</t>
  </si>
  <si>
    <t>Step 2.</t>
  </si>
  <si>
    <r>
      <t>Weight,</t>
    </r>
    <r>
      <rPr>
        <b/>
        <i/>
        <sz val="10"/>
        <rFont val="Arial"/>
        <family val="2"/>
      </rPr>
      <t xml:space="preserve"> w</t>
    </r>
    <r>
      <rPr>
        <b/>
        <i/>
        <vertAlign val="subscript"/>
        <sz val="10"/>
        <rFont val="Arial"/>
        <family val="2"/>
      </rPr>
      <t>i</t>
    </r>
  </si>
  <si>
    <t>1/9</t>
  </si>
  <si>
    <t>1/6</t>
  </si>
  <si>
    <t>1/3</t>
  </si>
  <si>
    <t>น้อยที่สุด</t>
  </si>
  <si>
    <t>มากที่สุด</t>
  </si>
  <si>
    <t>เท่ากัน</t>
  </si>
  <si>
    <t>ID</t>
  </si>
  <si>
    <t>Active</t>
  </si>
  <si>
    <t>WBS</t>
  </si>
  <si>
    <t>Task_Mode</t>
  </si>
  <si>
    <t>Name</t>
  </si>
  <si>
    <t>Duration</t>
  </si>
  <si>
    <t>Outline_Level</t>
  </si>
  <si>
    <t>Predecessors</t>
  </si>
  <si>
    <t>Successors</t>
  </si>
  <si>
    <t>Start_Date</t>
  </si>
  <si>
    <t>Finish_Date</t>
  </si>
  <si>
    <t>Early_Start</t>
  </si>
  <si>
    <t>Early_Finish</t>
  </si>
  <si>
    <t>Late_Start</t>
  </si>
  <si>
    <t>Late_Finish</t>
  </si>
  <si>
    <t>Constraint_Type</t>
  </si>
  <si>
    <t>Constraint_Date</t>
  </si>
  <si>
    <t>Summary</t>
  </si>
  <si>
    <t>Start_Slack</t>
  </si>
  <si>
    <t>Finish_Slack</t>
  </si>
  <si>
    <t>Free_Slack</t>
  </si>
  <si>
    <t>Yes</t>
  </si>
  <si>
    <t>CMU1</t>
  </si>
  <si>
    <t>Auto Scheduled</t>
  </si>
  <si>
    <t>716 days</t>
  </si>
  <si>
    <t>October 17, 2018 8:00 AM</t>
  </si>
  <si>
    <t>October 1, 2020 5:00 PM</t>
  </si>
  <si>
    <t>Oct 17 '18</t>
  </si>
  <si>
    <t>Oct 1 '20</t>
  </si>
  <si>
    <t>As Soon As Possible</t>
  </si>
  <si>
    <t>NA</t>
  </si>
  <si>
    <t>2</t>
  </si>
  <si>
    <t>CMU1.1</t>
  </si>
  <si>
    <t>675 days</t>
  </si>
  <si>
    <t>August 21, 2020 5:00 PM</t>
  </si>
  <si>
    <t>Aug 21 '20</t>
  </si>
  <si>
    <t>Nov 27 '18</t>
  </si>
  <si>
    <t>CMU1.1.1</t>
  </si>
  <si>
    <t>14 days</t>
  </si>
  <si>
    <t>October 26, 2018 8:00 AM</t>
  </si>
  <si>
    <t>November 8, 2018 5:00 PM</t>
  </si>
  <si>
    <t>Oct 26 '18</t>
  </si>
  <si>
    <t>Nov 8 '18</t>
  </si>
  <si>
    <t>Sep 18 '20</t>
  </si>
  <si>
    <t>Start No Earlier Than</t>
  </si>
  <si>
    <t>Oct 24 '18</t>
  </si>
  <si>
    <t>No</t>
  </si>
  <si>
    <t>4</t>
  </si>
  <si>
    <t>CMU1.1.2</t>
  </si>
  <si>
    <t>16 days</t>
  </si>
  <si>
    <t>November 1, 2018 5:00 PM</t>
  </si>
  <si>
    <t>Nov 1 '18</t>
  </si>
  <si>
    <t>Sep 9 '20</t>
  </si>
  <si>
    <t>Sep 24 '20</t>
  </si>
  <si>
    <t>5</t>
  </si>
  <si>
    <t>CMU1.1.3</t>
  </si>
  <si>
    <t>CMU1.1.3.1</t>
  </si>
  <si>
    <t>15 days</t>
  </si>
  <si>
    <t>October 31, 2018 5:00 PM</t>
  </si>
  <si>
    <t>Oct 31 '18</t>
  </si>
  <si>
    <t>Dec 11 '18</t>
  </si>
  <si>
    <t>7</t>
  </si>
  <si>
    <t>CMU1.1.3.2</t>
  </si>
  <si>
    <t>March 31, 2019 8:00 AM</t>
  </si>
  <si>
    <t>April 14, 2019 5:00 PM</t>
  </si>
  <si>
    <t>Mar 31 '19</t>
  </si>
  <si>
    <t>Apr 14 '19</t>
  </si>
  <si>
    <t>May 11 '19</t>
  </si>
  <si>
    <t>May 25 '19</t>
  </si>
  <si>
    <t>8</t>
  </si>
  <si>
    <t>CMU1.1.3.3</t>
  </si>
  <si>
    <t>September 12, 2019 8:00 AM</t>
  </si>
  <si>
    <t>September 26, 2019 5:00 PM</t>
  </si>
  <si>
    <t>Sep 12 '19</t>
  </si>
  <si>
    <t>Sep 26 '19</t>
  </si>
  <si>
    <t>Oct 23 '19</t>
  </si>
  <si>
    <t>Nov 6 '19</t>
  </si>
  <si>
    <t>CMU1.1.3.4</t>
  </si>
  <si>
    <t>February 24, 2020 8:00 AM</t>
  </si>
  <si>
    <t>March 9, 2020 5:00 PM</t>
  </si>
  <si>
    <t>Feb 24 '20</t>
  </si>
  <si>
    <t>Mar 9 '20</t>
  </si>
  <si>
    <t>Apr 5 '20</t>
  </si>
  <si>
    <t>Apr 19 '20</t>
  </si>
  <si>
    <t>10</t>
  </si>
  <si>
    <t>CMU1.1.3.5</t>
  </si>
  <si>
    <t>August 7, 2020 8:00 AM</t>
  </si>
  <si>
    <t>Aug 7 '20</t>
  </si>
  <si>
    <t>Sep 17 '20</t>
  </si>
  <si>
    <t>11</t>
  </si>
  <si>
    <t>CMU1.1.4</t>
  </si>
  <si>
    <t>12</t>
  </si>
  <si>
    <t>CMU1.1.4.1</t>
  </si>
  <si>
    <t>13</t>
  </si>
  <si>
    <t>CMU1.1.4.2</t>
  </si>
  <si>
    <t>14</t>
  </si>
  <si>
    <t>CMU1.1.4.3</t>
  </si>
  <si>
    <t>15</t>
  </si>
  <si>
    <t>CMU1.1.4.4</t>
  </si>
  <si>
    <t>16</t>
  </si>
  <si>
    <t>CMU1.1.4.5</t>
  </si>
  <si>
    <t>17</t>
  </si>
  <si>
    <t>CMU1.1.5</t>
  </si>
  <si>
    <t>106 days</t>
  </si>
  <si>
    <t>January 30, 2019 5:00 PM</t>
  </si>
  <si>
    <t>Jan 30 '19</t>
  </si>
  <si>
    <t>Jun 18 '20</t>
  </si>
  <si>
    <t>18</t>
  </si>
  <si>
    <t>CMU1.1.5.1</t>
  </si>
  <si>
    <t>20 days</t>
  </si>
  <si>
    <t>November 5, 2018 5:00 PM</t>
  </si>
  <si>
    <t>Nov 5 '18</t>
  </si>
  <si>
    <t>Jul 7 '20</t>
  </si>
  <si>
    <t>19</t>
  </si>
  <si>
    <t>CMU1.1.5.2</t>
  </si>
  <si>
    <t>November 6, 2018 8:00 AM</t>
  </si>
  <si>
    <t>November 25, 2018 5:00 PM</t>
  </si>
  <si>
    <t>Nov 6 '18</t>
  </si>
  <si>
    <t>Nov 25 '18</t>
  </si>
  <si>
    <t>Jul 9 '20</t>
  </si>
  <si>
    <t>Jul 28 '20</t>
  </si>
  <si>
    <t>20</t>
  </si>
  <si>
    <t>CMU1.1.5.3</t>
  </si>
  <si>
    <t>November 19, 2018 8:00 AM</t>
  </si>
  <si>
    <t>December 8, 2018 5:00 PM</t>
  </si>
  <si>
    <t>Nov 19 '18</t>
  </si>
  <si>
    <t>Dec 8 '18</t>
  </si>
  <si>
    <t>Jul 22 '20</t>
  </si>
  <si>
    <t>Aug 10 '20</t>
  </si>
  <si>
    <t>21</t>
  </si>
  <si>
    <t>CMU1.1.5.4</t>
  </si>
  <si>
    <t>December 2, 2018 8:00 AM</t>
  </si>
  <si>
    <t>December 21, 2018 5:00 PM</t>
  </si>
  <si>
    <t>Dec 2 '18</t>
  </si>
  <si>
    <t>Dec 21 '18</t>
  </si>
  <si>
    <t>Aug 4 '20</t>
  </si>
  <si>
    <t>Aug 23 '20</t>
  </si>
  <si>
    <t>22</t>
  </si>
  <si>
    <t>CMU1.1.5.5</t>
  </si>
  <si>
    <t>December 15, 2018 8:00 AM</t>
  </si>
  <si>
    <t>January 3, 2019 5:00 PM</t>
  </si>
  <si>
    <t>Dec 15 '18</t>
  </si>
  <si>
    <t>Jan 3 '19</t>
  </si>
  <si>
    <t>Aug 17 '20</t>
  </si>
  <si>
    <t>Sep 5 '20</t>
  </si>
  <si>
    <t>23</t>
  </si>
  <si>
    <t>CMU1.1.5.6</t>
  </si>
  <si>
    <t>December 28, 2018 8:00 AM</t>
  </si>
  <si>
    <t>January 16, 2019 5:00 PM</t>
  </si>
  <si>
    <t>Dec 28 '18</t>
  </si>
  <si>
    <t>Jan 16 '19</t>
  </si>
  <si>
    <t>Aug 30 '20</t>
  </si>
  <si>
    <t>24</t>
  </si>
  <si>
    <t>CMU1.1.5.7</t>
  </si>
  <si>
    <t>January 10, 2019 8:00 AM</t>
  </si>
  <si>
    <t>January 29, 2019 5:00 PM</t>
  </si>
  <si>
    <t>Jan 10 '19</t>
  </si>
  <si>
    <t>Jan 29 '19</t>
  </si>
  <si>
    <t>Sep 12 '20</t>
  </si>
  <si>
    <t>25</t>
  </si>
  <si>
    <t>CMU1.1.5.8</t>
  </si>
  <si>
    <t>92 days</t>
  </si>
  <si>
    <t>October 31, 2018 8:00 AM</t>
  </si>
  <si>
    <t>Jul 2 '20</t>
  </si>
  <si>
    <t>26</t>
  </si>
  <si>
    <t>CMU1.1.5.9</t>
  </si>
  <si>
    <t>27</t>
  </si>
  <si>
    <t>CMU1.1.6</t>
  </si>
  <si>
    <t>30 days</t>
  </si>
  <si>
    <t>November 15, 2018 5:00 PM</t>
  </si>
  <si>
    <t>Nov 15 '18</t>
  </si>
  <si>
    <t>Sep 2 '20</t>
  </si>
  <si>
    <t>28</t>
  </si>
  <si>
    <t>CMU1.1.6.1</t>
  </si>
  <si>
    <t>29</t>
  </si>
  <si>
    <t>CMU1.1.6.2</t>
  </si>
  <si>
    <t>30</t>
  </si>
  <si>
    <t>CMU1.1.6.3</t>
  </si>
  <si>
    <t>31</t>
  </si>
  <si>
    <t>CMU1.1.6.4</t>
  </si>
  <si>
    <t>32</t>
  </si>
  <si>
    <t>CMU1.1.6.5</t>
  </si>
  <si>
    <t>33</t>
  </si>
  <si>
    <t>CMU1.1.6.6</t>
  </si>
  <si>
    <t>34</t>
  </si>
  <si>
    <t>CMU1.1.7</t>
  </si>
  <si>
    <t>0 days</t>
  </si>
  <si>
    <t>35</t>
  </si>
  <si>
    <t>CMU1.2</t>
  </si>
  <si>
    <t>Renovation on the fourth floor</t>
  </si>
  <si>
    <t>471 days</t>
  </si>
  <si>
    <t>January 30, 2020 5:00 PM</t>
  </si>
  <si>
    <t>Jan 30 '20</t>
  </si>
  <si>
    <t>36</t>
  </si>
  <si>
    <t>CMU1.2.1</t>
  </si>
  <si>
    <t>Demolition work on the 4th floor (Dismantled)</t>
  </si>
  <si>
    <t>37</t>
  </si>
  <si>
    <t>CMU1.2.2</t>
  </si>
  <si>
    <t>Architecture Work on the Fourth Floor</t>
  </si>
  <si>
    <t>396 days</t>
  </si>
  <si>
    <t>December 31, 2018 8:00 AM</t>
  </si>
  <si>
    <t>Dec 31 '18</t>
  </si>
  <si>
    <t>Nov 22 '19</t>
  </si>
  <si>
    <t>38</t>
  </si>
  <si>
    <t>CMU1.2.2.1</t>
  </si>
  <si>
    <t>Ceiling work</t>
  </si>
  <si>
    <t>39,41,42</t>
  </si>
  <si>
    <t>March 1, 2019 8:00 AM</t>
  </si>
  <si>
    <t>March 30, 2019 5:00 PM</t>
  </si>
  <si>
    <t>Mar 1 '19</t>
  </si>
  <si>
    <t>Mar 30 '19</t>
  </si>
  <si>
    <t>39</t>
  </si>
  <si>
    <t>CMU1.2.2.2</t>
  </si>
  <si>
    <t>Floor work</t>
  </si>
  <si>
    <t>60 days</t>
  </si>
  <si>
    <t>38,43</t>
  </si>
  <si>
    <t>February 28, 2019 5:00 PM</t>
  </si>
  <si>
    <t>Feb 28 '19</t>
  </si>
  <si>
    <t>Jul 4 '20</t>
  </si>
  <si>
    <t>Sep 1 '20</t>
  </si>
  <si>
    <t>40</t>
  </si>
  <si>
    <t>CMU1.2.2.3</t>
  </si>
  <si>
    <t>Wall work</t>
  </si>
  <si>
    <t>41,42</t>
  </si>
  <si>
    <t>Aug 2 '20</t>
  </si>
  <si>
    <t>41</t>
  </si>
  <si>
    <t>CMU1.2.2.4</t>
  </si>
  <si>
    <t>Door and Window Work</t>
  </si>
  <si>
    <t>January 30, 2019 8:00 AM</t>
  </si>
  <si>
    <t>Aug 3 '20</t>
  </si>
  <si>
    <t>42</t>
  </si>
  <si>
    <t>CMU1.2.2.5</t>
  </si>
  <si>
    <t>Staircase</t>
  </si>
  <si>
    <t>43</t>
  </si>
  <si>
    <t>CMU1.2.2.6</t>
  </si>
  <si>
    <t>Painting work</t>
  </si>
  <si>
    <t>44</t>
  </si>
  <si>
    <t>CMU1.2.2.7</t>
  </si>
  <si>
    <t>Sanitary ware</t>
  </si>
  <si>
    <t>315 days</t>
  </si>
  <si>
    <t>March 22, 2019 8:00 AM</t>
  </si>
  <si>
    <t>Mar 22 '19</t>
  </si>
  <si>
    <t>45</t>
  </si>
  <si>
    <t>CMU1.2.2.7.1</t>
  </si>
  <si>
    <t>August 19, 2019 8:00 AM</t>
  </si>
  <si>
    <t>September 2, 2019 5:00 PM</t>
  </si>
  <si>
    <t>Aug 19 '19</t>
  </si>
  <si>
    <t>Sep 2 '19</t>
  </si>
  <si>
    <t>Apr 20 '20</t>
  </si>
  <si>
    <t>May 4 '20</t>
  </si>
  <si>
    <t>46</t>
  </si>
  <si>
    <t>CMU1.2.2.7.2</t>
  </si>
  <si>
    <t>51,55</t>
  </si>
  <si>
    <t>April 5, 2019 5:00 PM</t>
  </si>
  <si>
    <t>Apr 5 '19</t>
  </si>
  <si>
    <t>Dec 6 '19</t>
  </si>
  <si>
    <t>47</t>
  </si>
  <si>
    <t>CMU1.2.2.7.3</t>
  </si>
  <si>
    <t>January 16, 2020 8:00 AM</t>
  </si>
  <si>
    <t>Jan 16 '20</t>
  </si>
  <si>
    <t>48</t>
  </si>
  <si>
    <t>CMU1.2.3</t>
  </si>
  <si>
    <t>Sanitation system work on the fourth floor</t>
  </si>
  <si>
    <t>408 days</t>
  </si>
  <si>
    <t>November 16, 2018 8:00 AM</t>
  </si>
  <si>
    <t>December 28, 2019 5:00 PM</t>
  </si>
  <si>
    <t>Nov 16 '18</t>
  </si>
  <si>
    <t>Dec 28 '19</t>
  </si>
  <si>
    <t>Jul 19 '19</t>
  </si>
  <si>
    <t>49</t>
  </si>
  <si>
    <t>CMU1.2.3.1</t>
  </si>
  <si>
    <t>Water supply pipe system work</t>
  </si>
  <si>
    <t>50</t>
  </si>
  <si>
    <t>CMU1.2.3.1.1</t>
  </si>
  <si>
    <t>126 days</t>
  </si>
  <si>
    <t>April 6, 2019 8:00 AM</t>
  </si>
  <si>
    <t>August 9, 2019 5:00 PM</t>
  </si>
  <si>
    <t>Apr 6 '19</t>
  </si>
  <si>
    <t>Aug 9 '19</t>
  </si>
  <si>
    <t>Jan 9 '20</t>
  </si>
  <si>
    <t>May 13 '20</t>
  </si>
  <si>
    <t>51</t>
  </si>
  <si>
    <t>CMU1.2.3.1.2</t>
  </si>
  <si>
    <t>March 21, 2019 5:00 PM</t>
  </si>
  <si>
    <t>Mar 21 '19</t>
  </si>
  <si>
    <t>Nov 21 '19</t>
  </si>
  <si>
    <t>52</t>
  </si>
  <si>
    <t>CMU1.2.3.1.3</t>
  </si>
  <si>
    <t>August 25, 2019 8:00 AM</t>
  </si>
  <si>
    <t>Aug 25 '19</t>
  </si>
  <si>
    <t>May 29 '20</t>
  </si>
  <si>
    <t>53</t>
  </si>
  <si>
    <t>CMU1.2.3.2</t>
  </si>
  <si>
    <t>Sewage pipe system, general sewer and air pipe</t>
  </si>
  <si>
    <t>54</t>
  </si>
  <si>
    <t>CMU1.2.3.2.1</t>
  </si>
  <si>
    <t>55</t>
  </si>
  <si>
    <t>CMU1.2.3.2.2</t>
  </si>
  <si>
    <t>51SS</t>
  </si>
  <si>
    <t>56</t>
  </si>
  <si>
    <t>CMU1.2.3.2.3</t>
  </si>
  <si>
    <t>57</t>
  </si>
  <si>
    <t>CMU1.2.4</t>
  </si>
  <si>
    <t>Electrical system work on the 4th floor</t>
  </si>
  <si>
    <t>117 days</t>
  </si>
  <si>
    <t>November 30, 2018 8:00 AM</t>
  </si>
  <si>
    <t>March 26, 2019 5:00 PM</t>
  </si>
  <si>
    <t>Nov 30 '18</t>
  </si>
  <si>
    <t>Mar 26 '19</t>
  </si>
  <si>
    <t>Jun 7 '20</t>
  </si>
  <si>
    <t>58</t>
  </si>
  <si>
    <t>CMU1.2.4.1</t>
  </si>
  <si>
    <t>Electric lamp</t>
  </si>
  <si>
    <t>February 25, 2019 8:00 AM</t>
  </si>
  <si>
    <t>Feb 25 '19</t>
  </si>
  <si>
    <t>59</t>
  </si>
  <si>
    <t>CMU1.2.4.2</t>
  </si>
  <si>
    <t>Switch and Electrical Socket</t>
  </si>
  <si>
    <t>60</t>
  </si>
  <si>
    <t>CMU1.2.4.3</t>
  </si>
  <si>
    <t>Electrical work and conduits</t>
  </si>
  <si>
    <t>80 days</t>
  </si>
  <si>
    <t>February 17, 2019 5:00 PM</t>
  </si>
  <si>
    <t>Feb 17 '19</t>
  </si>
  <si>
    <t>Aug 25 '20</t>
  </si>
  <si>
    <t>61</t>
  </si>
  <si>
    <t>CMU1.2.4.4</t>
  </si>
  <si>
    <t>Speaker cable work and conduit</t>
  </si>
  <si>
    <t>Jul 14 '20</t>
  </si>
  <si>
    <t>62</t>
  </si>
  <si>
    <t>CMU1.2.4.5</t>
  </si>
  <si>
    <t>CCTV system work and conduit pipe</t>
  </si>
  <si>
    <t>63</t>
  </si>
  <si>
    <t>CMU1.2.5</t>
  </si>
  <si>
    <t>Durable goods and made to order work on the fourth floor</t>
  </si>
  <si>
    <t>165 days</t>
  </si>
  <si>
    <t>April 13, 2019 5:00 PM</t>
  </si>
  <si>
    <t>Apr 13 '19</t>
  </si>
  <si>
    <t>64</t>
  </si>
  <si>
    <t>CMU1.3</t>
  </si>
  <si>
    <t>Third Floor Renovation</t>
  </si>
  <si>
    <t>441 days</t>
  </si>
  <si>
    <t>65</t>
  </si>
  <si>
    <t>CMU1.3.1</t>
  </si>
  <si>
    <t>Demolition work on the third floor (Dismantled)</t>
  </si>
  <si>
    <t>April 14, 2019 8:00 AM</t>
  </si>
  <si>
    <t>May 13, 2019 5:00 PM</t>
  </si>
  <si>
    <t>May 13 '19</t>
  </si>
  <si>
    <t>66</t>
  </si>
  <si>
    <t>CMU1.3.2</t>
  </si>
  <si>
    <t>Architecture Work on the Third Floor</t>
  </si>
  <si>
    <t>67</t>
  </si>
  <si>
    <t>CMU1.3.2.1</t>
  </si>
  <si>
    <t>68,70,71</t>
  </si>
  <si>
    <t>August 27, 2019 8:00 AM</t>
  </si>
  <si>
    <t>September 25, 2019 5:00 PM</t>
  </si>
  <si>
    <t>Aug 27 '19</t>
  </si>
  <si>
    <t>Sep 25 '19</t>
  </si>
  <si>
    <t>68</t>
  </si>
  <si>
    <t>CMU1.3.2.2</t>
  </si>
  <si>
    <t>67,72</t>
  </si>
  <si>
    <t>June 28, 2019 8:00 AM</t>
  </si>
  <si>
    <t>August 26, 2019 5:00 PM</t>
  </si>
  <si>
    <t>Jun 28 '19</t>
  </si>
  <si>
    <t>Aug 26 '19</t>
  </si>
  <si>
    <t>69</t>
  </si>
  <si>
    <t>CMU1.3.2.3</t>
  </si>
  <si>
    <t>70,71</t>
  </si>
  <si>
    <t>July 27, 2019 5:00 PM</t>
  </si>
  <si>
    <t>Jul 27 '19</t>
  </si>
  <si>
    <t>70</t>
  </si>
  <si>
    <t>CMU1.3.2.4</t>
  </si>
  <si>
    <t>July 28, 2019 8:00 AM</t>
  </si>
  <si>
    <t>Jul 28 '19</t>
  </si>
  <si>
    <t>71</t>
  </si>
  <si>
    <t>CMU1.3.2.5</t>
  </si>
  <si>
    <t>72</t>
  </si>
  <si>
    <t>CMU1.3.2.6</t>
  </si>
  <si>
    <t>73</t>
  </si>
  <si>
    <t>CMU1.3.2.7</t>
  </si>
  <si>
    <t>74</t>
  </si>
  <si>
    <t>CMU1.3.2.7.1</t>
  </si>
  <si>
    <t>75</t>
  </si>
  <si>
    <t>CMU1.3.2.7.2</t>
  </si>
  <si>
    <t>80,84</t>
  </si>
  <si>
    <t>76</t>
  </si>
  <si>
    <t>CMU1.3.2.7.3</t>
  </si>
  <si>
    <t>77</t>
  </si>
  <si>
    <t>CMU1.3.3</t>
  </si>
  <si>
    <t>Sanitation system on the third floor</t>
  </si>
  <si>
    <t>78</t>
  </si>
  <si>
    <t>CMU1.3.3.1</t>
  </si>
  <si>
    <t>79</t>
  </si>
  <si>
    <t>CMU1.3.3.1.1</t>
  </si>
  <si>
    <t>80</t>
  </si>
  <si>
    <t>CMU1.3.3.1.2</t>
  </si>
  <si>
    <t>81</t>
  </si>
  <si>
    <t>CMU1.3.3.1.3</t>
  </si>
  <si>
    <t>82</t>
  </si>
  <si>
    <t>CMU1.3.3.2</t>
  </si>
  <si>
    <t>Sewage pipe system work, general sewer and air pipe</t>
  </si>
  <si>
    <t>83</t>
  </si>
  <si>
    <t>CMU1.3.3.2.1</t>
  </si>
  <si>
    <t>84</t>
  </si>
  <si>
    <t>CMU1.3.3.2.2</t>
  </si>
  <si>
    <t>80SS</t>
  </si>
  <si>
    <t>85</t>
  </si>
  <si>
    <t>CMU1.3.3.2.3</t>
  </si>
  <si>
    <t>86</t>
  </si>
  <si>
    <t>CMU1.3.4</t>
  </si>
  <si>
    <t>Electrical system work on the 3rd floor</t>
  </si>
  <si>
    <t>147 days</t>
  </si>
  <si>
    <t>May 14, 2019 8:00 AM</t>
  </si>
  <si>
    <t>October 7, 2019 5:00 PM</t>
  </si>
  <si>
    <t>May 14 '19</t>
  </si>
  <si>
    <t>Oct 7 '19</t>
  </si>
  <si>
    <t>May 8 '20</t>
  </si>
  <si>
    <t>87</t>
  </si>
  <si>
    <t>CMU1.3.4.1</t>
  </si>
  <si>
    <t>August 9, 2019 8:00 AM</t>
  </si>
  <si>
    <t>88</t>
  </si>
  <si>
    <t>CMU1.3.4.2</t>
  </si>
  <si>
    <t>89</t>
  </si>
  <si>
    <t>CMU1.3.4.3</t>
  </si>
  <si>
    <t>August 1, 2019 5:00 PM</t>
  </si>
  <si>
    <t>Aug 1 '19</t>
  </si>
  <si>
    <t>Jul 26 '20</t>
  </si>
  <si>
    <t>90</t>
  </si>
  <si>
    <t>CMU1.3.4.4</t>
  </si>
  <si>
    <t>91</t>
  </si>
  <si>
    <t>CMU1.3.4.5</t>
  </si>
  <si>
    <t>92</t>
  </si>
  <si>
    <t>CMU1.3.5</t>
  </si>
  <si>
    <t>Durable goods procurement or made to order work on the 3rd floor</t>
  </si>
  <si>
    <t>180 days</t>
  </si>
  <si>
    <t>65SS</t>
  </si>
  <si>
    <t>October 10, 2019 5:00 PM</t>
  </si>
  <si>
    <t>Oct 10 '19</t>
  </si>
  <si>
    <t>93</t>
  </si>
  <si>
    <t>CMU1.4</t>
  </si>
  <si>
    <t>Building renovation on the second floor</t>
  </si>
  <si>
    <t>509 days</t>
  </si>
  <si>
    <t>April 7, 2020 5:00 PM</t>
  </si>
  <si>
    <t>Apr 7 '20</t>
  </si>
  <si>
    <t>94</t>
  </si>
  <si>
    <t>CMU1.4.1</t>
  </si>
  <si>
    <t>Demolition on the 2nd floor (Dismantled)</t>
  </si>
  <si>
    <t>October 11, 2019 8:00 AM</t>
  </si>
  <si>
    <t>November 9, 2019 5:00 PM</t>
  </si>
  <si>
    <t>Oct 11 '19</t>
  </si>
  <si>
    <t>Nov 9 '19</t>
  </si>
  <si>
    <t>95</t>
  </si>
  <si>
    <t>CMU1.4.2</t>
  </si>
  <si>
    <t>Second Floor Architecture</t>
  </si>
  <si>
    <t>368 days</t>
  </si>
  <si>
    <t>March 23, 2020 5:00 PM</t>
  </si>
  <si>
    <t>Mar 23 '20</t>
  </si>
  <si>
    <t>96</t>
  </si>
  <si>
    <t>CMU1.4.2.1</t>
  </si>
  <si>
    <t>97,99,100</t>
  </si>
  <si>
    <t>February 23, 2020 8:00 AM</t>
  </si>
  <si>
    <t>Feb 23 '20</t>
  </si>
  <si>
    <t>97</t>
  </si>
  <si>
    <t>CMU1.4.2.2</t>
  </si>
  <si>
    <t>96,101</t>
  </si>
  <si>
    <t>December 25, 2019 8:00 AM</t>
  </si>
  <si>
    <t>February 22, 2020 5:00 PM</t>
  </si>
  <si>
    <t>Dec 25 '19</t>
  </si>
  <si>
    <t>Feb 22 '20</t>
  </si>
  <si>
    <t>98</t>
  </si>
  <si>
    <t>CMU1.4.2.3</t>
  </si>
  <si>
    <t>99,100</t>
  </si>
  <si>
    <t>January 23, 2020 5:00 PM</t>
  </si>
  <si>
    <t>Jan 23 '20</t>
  </si>
  <si>
    <t>99</t>
  </si>
  <si>
    <t>CMU1.4.2.4</t>
  </si>
  <si>
    <t>January 24, 2020 8:00 AM</t>
  </si>
  <si>
    <t>Jan 24 '20</t>
  </si>
  <si>
    <t>100</t>
  </si>
  <si>
    <t>CMU1.4.2.5</t>
  </si>
  <si>
    <t>101</t>
  </si>
  <si>
    <t>CMU1.4.2.6</t>
  </si>
  <si>
    <t>102</t>
  </si>
  <si>
    <t>CMU1.4.2.7</t>
  </si>
  <si>
    <t>103</t>
  </si>
  <si>
    <t>CMU1.4.2.7.1</t>
  </si>
  <si>
    <t>104</t>
  </si>
  <si>
    <t>CMU1.4.2.7.2</t>
  </si>
  <si>
    <t>113,109</t>
  </si>
  <si>
    <t>105</t>
  </si>
  <si>
    <t>CMU1.4.2.7.3</t>
  </si>
  <si>
    <t>106</t>
  </si>
  <si>
    <t>CMU1.4.3</t>
  </si>
  <si>
    <t>Sanitation system work on the second floor</t>
  </si>
  <si>
    <t>107</t>
  </si>
  <si>
    <t>CMU1.4.3.1</t>
  </si>
  <si>
    <t>108</t>
  </si>
  <si>
    <t>CMU1.4.3.1.1</t>
  </si>
  <si>
    <t>109</t>
  </si>
  <si>
    <t>CMU1.4.3.1.2</t>
  </si>
  <si>
    <t>110</t>
  </si>
  <si>
    <t>CMU1.4.3.1.3</t>
  </si>
  <si>
    <t>111</t>
  </si>
  <si>
    <t>CMU1.4.3.2</t>
  </si>
  <si>
    <t>Sewage Pipe System, general sewer and air pipe</t>
  </si>
  <si>
    <t>112</t>
  </si>
  <si>
    <t>CMU1.4.3.2.1</t>
  </si>
  <si>
    <t>113</t>
  </si>
  <si>
    <t>CMU1.4.3.2.2</t>
  </si>
  <si>
    <t>109SS</t>
  </si>
  <si>
    <t>114</t>
  </si>
  <si>
    <t>CMU1.4.3.2.3</t>
  </si>
  <si>
    <t>115</t>
  </si>
  <si>
    <t>CMU1.4.4</t>
  </si>
  <si>
    <t>Electrical system work on the second floor</t>
  </si>
  <si>
    <t>November 10, 2019 8:00 AM</t>
  </si>
  <si>
    <t>April 4, 2020 5:00 PM</t>
  </si>
  <si>
    <t>Nov 10 '19</t>
  </si>
  <si>
    <t>Apr 4 '20</t>
  </si>
  <si>
    <t>116</t>
  </si>
  <si>
    <t>CMU1.4.4.1</t>
  </si>
  <si>
    <t>February 5, 2020 8:00 AM</t>
  </si>
  <si>
    <t>Feb 5 '20</t>
  </si>
  <si>
    <t>117</t>
  </si>
  <si>
    <t>CMU1.4.4.2</t>
  </si>
  <si>
    <t>118</t>
  </si>
  <si>
    <t>CMU1.4.4.3</t>
  </si>
  <si>
    <t>January 28, 2020 5:00 PM</t>
  </si>
  <si>
    <t>Jan 28 '20</t>
  </si>
  <si>
    <t>119</t>
  </si>
  <si>
    <t>CMU1.4.4.4</t>
  </si>
  <si>
    <t>120</t>
  </si>
  <si>
    <t>CMU1.4.4.5</t>
  </si>
  <si>
    <t>121</t>
  </si>
  <si>
    <t>CMU1.4.5</t>
  </si>
  <si>
    <t>Durable goods procurement or made to order work on the 2nd floor</t>
  </si>
  <si>
    <t>94SS</t>
  </si>
  <si>
    <t>122</t>
  </si>
  <si>
    <t>CMU1.5</t>
  </si>
  <si>
    <t>Renovation of the First Floor of the Building</t>
  </si>
  <si>
    <t>686 days</t>
  </si>
  <si>
    <t>Dec 30 '18</t>
  </si>
  <si>
    <t>123</t>
  </si>
  <si>
    <t>CMU1.5.1</t>
  </si>
  <si>
    <t>Demolition work on the 1st floor (Dismantled)</t>
  </si>
  <si>
    <t>April 8, 2020 8:00 AM</t>
  </si>
  <si>
    <t>May 7, 2020 5:00 PM</t>
  </si>
  <si>
    <t>Apr 8 '20</t>
  </si>
  <si>
    <t>May 7 '20</t>
  </si>
  <si>
    <t>124</t>
  </si>
  <si>
    <t>CMU1.5.2</t>
  </si>
  <si>
    <t>Structural Engineering Work on the First Floor</t>
  </si>
  <si>
    <t>75 days</t>
  </si>
  <si>
    <t>May 8, 2020 8:00 AM</t>
  </si>
  <si>
    <t>July 21, 2020 5:00 PM</t>
  </si>
  <si>
    <t>Jul 21 '20</t>
  </si>
  <si>
    <t>Jul 19 '20</t>
  </si>
  <si>
    <t>125</t>
  </si>
  <si>
    <t>CMU1.5.3</t>
  </si>
  <si>
    <t>Architecture in the First Floor</t>
  </si>
  <si>
    <t>548 days</t>
  </si>
  <si>
    <t>September 19, 2020 5:00 PM</t>
  </si>
  <si>
    <t>Sep 19 '20</t>
  </si>
  <si>
    <t>126</t>
  </si>
  <si>
    <t>CMU1.5.3.1</t>
  </si>
  <si>
    <t>127,129,130</t>
  </si>
  <si>
    <t>August 21, 2020 8:00 AM</t>
  </si>
  <si>
    <t>127</t>
  </si>
  <si>
    <t>CMU1.5.3.2</t>
  </si>
  <si>
    <t>126,132</t>
  </si>
  <si>
    <t>June 22, 2020 8:00 AM</t>
  </si>
  <si>
    <t>August 20, 2020 5:00 PM</t>
  </si>
  <si>
    <t>Jun 22 '20</t>
  </si>
  <si>
    <t>Aug 20 '20</t>
  </si>
  <si>
    <t>128</t>
  </si>
  <si>
    <t>CMU1.5.3.3</t>
  </si>
  <si>
    <t>129,130</t>
  </si>
  <si>
    <t>129</t>
  </si>
  <si>
    <t>CMU1.5.3.4</t>
  </si>
  <si>
    <t>July 22, 2020 8:00 AM</t>
  </si>
  <si>
    <t>130</t>
  </si>
  <si>
    <t>CMU1.5.3.5</t>
  </si>
  <si>
    <t>131</t>
  </si>
  <si>
    <t>CMU1.5.3.6</t>
  </si>
  <si>
    <t>Other decorations</t>
  </si>
  <si>
    <t>132</t>
  </si>
  <si>
    <t>CMU1.5.3.7</t>
  </si>
  <si>
    <t>133</t>
  </si>
  <si>
    <t>CMU1.5.3.8</t>
  </si>
  <si>
    <t>134</t>
  </si>
  <si>
    <t>CMU1.5.3.8.1</t>
  </si>
  <si>
    <t>135</t>
  </si>
  <si>
    <t>CMU1.5.3.8.2</t>
  </si>
  <si>
    <t>140,144</t>
  </si>
  <si>
    <t>136</t>
  </si>
  <si>
    <t>CMU1.5.3.8.3</t>
  </si>
  <si>
    <t>137</t>
  </si>
  <si>
    <t>CMU1.5.4</t>
  </si>
  <si>
    <t>Sanitation system on the first floor</t>
  </si>
  <si>
    <t>138</t>
  </si>
  <si>
    <t>CMU1.5.4.1</t>
  </si>
  <si>
    <t>139</t>
  </si>
  <si>
    <t>CMU1.5.4.1.1</t>
  </si>
  <si>
    <t>140</t>
  </si>
  <si>
    <t>CMU1.5.4.1.2</t>
  </si>
  <si>
    <t>May 4 '19</t>
  </si>
  <si>
    <t>141</t>
  </si>
  <si>
    <t>CMU1.5.4.1.3</t>
  </si>
  <si>
    <t>142</t>
  </si>
  <si>
    <t>CMU1.5.4.2</t>
  </si>
  <si>
    <t>143</t>
  </si>
  <si>
    <t>CMU1.5.4.2.1</t>
  </si>
  <si>
    <t>144</t>
  </si>
  <si>
    <t>CMU1.5.4.2.2</t>
  </si>
  <si>
    <t>140SS</t>
  </si>
  <si>
    <t>145</t>
  </si>
  <si>
    <t>CMU1.5.4.2.3</t>
  </si>
  <si>
    <t>146</t>
  </si>
  <si>
    <t>CMU1.5.5</t>
  </si>
  <si>
    <t>Electrical system work on the first floor</t>
  </si>
  <si>
    <t>147</t>
  </si>
  <si>
    <t>CMU1.5.5.1</t>
  </si>
  <si>
    <t>August 3, 2020 8:00 AM</t>
  </si>
  <si>
    <t>148</t>
  </si>
  <si>
    <t>CMU1.5.5.2</t>
  </si>
  <si>
    <t>149</t>
  </si>
  <si>
    <t>CMU1.5.5.3</t>
  </si>
  <si>
    <t>July 26, 2020 5:00 PM</t>
  </si>
  <si>
    <t>150</t>
  </si>
  <si>
    <t>CMU1.5.5.4</t>
  </si>
  <si>
    <t>151</t>
  </si>
  <si>
    <t>CMU1.5.5.5</t>
  </si>
  <si>
    <t>152</t>
  </si>
  <si>
    <t>CMU1.5.6</t>
  </si>
  <si>
    <t>Durable goods procurement or order work on the 1st floor</t>
  </si>
  <si>
    <t>123SS</t>
  </si>
  <si>
    <t>153</t>
  </si>
  <si>
    <t>CMU1.6</t>
  </si>
  <si>
    <t>Basement Renovation</t>
  </si>
  <si>
    <t>533 days</t>
  </si>
  <si>
    <t>May 20 '19</t>
  </si>
  <si>
    <t>154</t>
  </si>
  <si>
    <t>CMU1.6.1</t>
  </si>
  <si>
    <t>Demolition of the wall (Dismantled)</t>
  </si>
  <si>
    <t>152SS</t>
  </si>
  <si>
    <t>May 19 '20</t>
  </si>
  <si>
    <t>155</t>
  </si>
  <si>
    <t>CMU1.6.2</t>
  </si>
  <si>
    <t>Basement Engineering</t>
  </si>
  <si>
    <t>156</t>
  </si>
  <si>
    <t>CMU1.6.3</t>
  </si>
  <si>
    <t>Basement Architecture</t>
  </si>
  <si>
    <t>398 days</t>
  </si>
  <si>
    <t>157</t>
  </si>
  <si>
    <t>CMU1.6.3.1</t>
  </si>
  <si>
    <t>158,160,161</t>
  </si>
  <si>
    <t>158</t>
  </si>
  <si>
    <t>CMU1.6.3.2</t>
  </si>
  <si>
    <t>157,162</t>
  </si>
  <si>
    <t>159</t>
  </si>
  <si>
    <t>CMU1.6.3.3</t>
  </si>
  <si>
    <t>160,161</t>
  </si>
  <si>
    <t>160</t>
  </si>
  <si>
    <t>CMU1.6.3.4</t>
  </si>
  <si>
    <t>161</t>
  </si>
  <si>
    <t>CMU1.6.3.5</t>
  </si>
  <si>
    <t>162</t>
  </si>
  <si>
    <t>CMU1.6.3.6</t>
  </si>
  <si>
    <t>163</t>
  </si>
  <si>
    <t>CMU1.6.3.7</t>
  </si>
  <si>
    <t>164</t>
  </si>
  <si>
    <t>CMU1.6.3.7.1</t>
  </si>
  <si>
    <t>165</t>
  </si>
  <si>
    <t>CMU1.6.4</t>
  </si>
  <si>
    <t>Basement sanitation system work</t>
  </si>
  <si>
    <t>501 days</t>
  </si>
  <si>
    <t>August 18, 2020 5:00 PM</t>
  </si>
  <si>
    <t>Aug 18 '20</t>
  </si>
  <si>
    <t>166</t>
  </si>
  <si>
    <t>CMU1.6.4.1</t>
  </si>
  <si>
    <t>Water supply pipe system</t>
  </si>
  <si>
    <t>167</t>
  </si>
  <si>
    <t>CMU1.6.4.1.1</t>
  </si>
  <si>
    <t>168</t>
  </si>
  <si>
    <t>CMU1.6.4.2</t>
  </si>
  <si>
    <t>Sep 22 '19</t>
  </si>
  <si>
    <t>169</t>
  </si>
  <si>
    <t>CMU1.6.4.2.1</t>
  </si>
  <si>
    <t>170</t>
  </si>
  <si>
    <t>CMU1.6.4.3</t>
  </si>
  <si>
    <t>Rainwater drainage system work</t>
  </si>
  <si>
    <t>June 5, 2020 8:00 AM</t>
  </si>
  <si>
    <t>Jun 5 '20</t>
  </si>
  <si>
    <t>171</t>
  </si>
  <si>
    <t>CMU1.6.5</t>
  </si>
  <si>
    <t>Basement Electrical System</t>
  </si>
  <si>
    <t>September 1, 2020 5:00 PM</t>
  </si>
  <si>
    <t>172</t>
  </si>
  <si>
    <t>CMU1.6.5.1</t>
  </si>
  <si>
    <t>Electric Lamp</t>
  </si>
  <si>
    <t>July 4, 2020 8:00 AM</t>
  </si>
  <si>
    <t>173</t>
  </si>
  <si>
    <t>CMU1.6.5.2</t>
  </si>
  <si>
    <t>Switch and electrical socket</t>
  </si>
  <si>
    <t>174</t>
  </si>
  <si>
    <t>CMU1.6.5.3</t>
  </si>
  <si>
    <t>154SS</t>
  </si>
  <si>
    <t>June 26, 2020 5:00 PM</t>
  </si>
  <si>
    <t>Jun 26 '20</t>
  </si>
  <si>
    <t>175</t>
  </si>
  <si>
    <t>CMU1.6.5.4</t>
  </si>
  <si>
    <t>176</t>
  </si>
  <si>
    <t>CMU1.6.5.5</t>
  </si>
  <si>
    <t>177</t>
  </si>
  <si>
    <t>CMU1.6.6</t>
  </si>
  <si>
    <t>Durable goods procurement or order the basement</t>
  </si>
  <si>
    <t>178</t>
  </si>
  <si>
    <t>CMU1.7</t>
  </si>
  <si>
    <t>Computer system and fire alarm system</t>
  </si>
  <si>
    <t>670 days</t>
  </si>
  <si>
    <t>September 29, 2020 5:00 PM</t>
  </si>
  <si>
    <t>Sep 29 '20</t>
  </si>
  <si>
    <t>179</t>
  </si>
  <si>
    <t>CMU1.7.1</t>
  </si>
  <si>
    <t>Computer system</t>
  </si>
  <si>
    <t>180</t>
  </si>
  <si>
    <t>CMU1.7.1.1</t>
  </si>
  <si>
    <t>Fourth floor</t>
  </si>
  <si>
    <t>160 days</t>
  </si>
  <si>
    <t>181</t>
  </si>
  <si>
    <t>May 8, 2019 5:00 PM</t>
  </si>
  <si>
    <t>May 8 '19</t>
  </si>
  <si>
    <t>May 10 '19</t>
  </si>
  <si>
    <t>CMU1.7.1.2</t>
  </si>
  <si>
    <t>Third floor</t>
  </si>
  <si>
    <t>175 days</t>
  </si>
  <si>
    <t>182</t>
  </si>
  <si>
    <t>May 9, 2019 8:00 AM</t>
  </si>
  <si>
    <t>October 30, 2019 5:00 PM</t>
  </si>
  <si>
    <t>May 9 '19</t>
  </si>
  <si>
    <t>Oct 30 '19</t>
  </si>
  <si>
    <t>Nov 1 '19</t>
  </si>
  <si>
    <t>CMU1.7.1.3</t>
  </si>
  <si>
    <t>Second floor</t>
  </si>
  <si>
    <t>183,184</t>
  </si>
  <si>
    <t>October 31, 2019 8:00 AM</t>
  </si>
  <si>
    <t>April 22, 2020 5:00 PM</t>
  </si>
  <si>
    <t>Oct 31 '19</t>
  </si>
  <si>
    <t>Apr 22 '20</t>
  </si>
  <si>
    <t>Nov 2 '19</t>
  </si>
  <si>
    <t>Apr 24 '20</t>
  </si>
  <si>
    <t>183</t>
  </si>
  <si>
    <t>CMU1.7.1.4</t>
  </si>
  <si>
    <t>First floor</t>
  </si>
  <si>
    <t>April 23, 2020 8:00 AM</t>
  </si>
  <si>
    <t>Apr 23 '20</t>
  </si>
  <si>
    <t>Apr 25 '20</t>
  </si>
  <si>
    <t>184</t>
  </si>
  <si>
    <t>CMU1.7.1.5</t>
  </si>
  <si>
    <t>Basement</t>
  </si>
  <si>
    <t>185</t>
  </si>
  <si>
    <t>CMU1.7.2</t>
  </si>
  <si>
    <t>Fire Alarm System</t>
  </si>
  <si>
    <t>186</t>
  </si>
  <si>
    <t>CMU1.7.2.1</t>
  </si>
  <si>
    <t>187</t>
  </si>
  <si>
    <t>CMU1.7.2.2</t>
  </si>
  <si>
    <t>188</t>
  </si>
  <si>
    <t>CMU1.7.2.3</t>
  </si>
  <si>
    <t>189,190</t>
  </si>
  <si>
    <t>189</t>
  </si>
  <si>
    <t>CMU1.7.2.4</t>
  </si>
  <si>
    <t>190</t>
  </si>
  <si>
    <t>CMU1.7.2.5</t>
  </si>
  <si>
    <t>191</t>
  </si>
  <si>
    <t>CMU1.8</t>
  </si>
  <si>
    <t>Exterior paint, repair and exterior decoration of the building</t>
  </si>
  <si>
    <t>660 days</t>
  </si>
  <si>
    <t>192</t>
  </si>
  <si>
    <t>CMU1.8.1</t>
  </si>
  <si>
    <t>Exterior paint and exterior surface repair</t>
  </si>
  <si>
    <t>193</t>
  </si>
  <si>
    <t>CMU1.8.1.1</t>
  </si>
  <si>
    <t>Polishing the old wall paint</t>
  </si>
  <si>
    <t>194</t>
  </si>
  <si>
    <t>CMU1.8.1.2</t>
  </si>
  <si>
    <t>Old plaster solution (primer)</t>
  </si>
  <si>
    <t>195</t>
  </si>
  <si>
    <t>CMU1.8.1.3</t>
  </si>
  <si>
    <t>Exterior painting work (2 coats) not including basement</t>
  </si>
  <si>
    <t>196</t>
  </si>
  <si>
    <t>CMU1.8.1.4</t>
  </si>
  <si>
    <t>Cleaning and repairing of brick wall tiles (Refer to the price of polishing work)</t>
  </si>
  <si>
    <t>197</t>
  </si>
  <si>
    <t>CMU1.8.1.5</t>
  </si>
  <si>
    <t>Tile wall coating liquid (Refer to the cost of applying antifungal agent)</t>
  </si>
  <si>
    <t>198</t>
  </si>
  <si>
    <t>CMU1.8.1.6</t>
  </si>
  <si>
    <t>Demolition of roof waterproofing (Dismantled)</t>
  </si>
  <si>
    <t>90 days</t>
  </si>
  <si>
    <t>February 27, 2019 5:00 PM</t>
  </si>
  <si>
    <t>Feb 27 '19</t>
  </si>
  <si>
    <t>199</t>
  </si>
  <si>
    <t>CMU1.8.1.7</t>
  </si>
  <si>
    <t>Sand blasting waterproofing sheet material</t>
  </si>
  <si>
    <t>200</t>
  </si>
  <si>
    <t>CMU1.8.1.8</t>
  </si>
  <si>
    <t>Polyurethane waterproofing, ultra-flexible oil formula, resistant to UV light, Xander, Ardex or equivalent.</t>
  </si>
  <si>
    <t>201</t>
  </si>
  <si>
    <t>CMU1.8.2</t>
  </si>
  <si>
    <t>Exterior Decoration</t>
  </si>
  <si>
    <t>202</t>
  </si>
  <si>
    <t>CMU1.8.2.1</t>
  </si>
  <si>
    <t>Expanded Metal XS-32</t>
  </si>
  <si>
    <t>203</t>
  </si>
  <si>
    <t>CMU1.9</t>
  </si>
  <si>
    <t>Surrounding area</t>
  </si>
  <si>
    <t>204</t>
  </si>
  <si>
    <t>CMU1.9.1</t>
  </si>
  <si>
    <t>Demolition of the Surrounding Area</t>
  </si>
  <si>
    <t>205</t>
  </si>
  <si>
    <t>CMU1.9.2</t>
  </si>
  <si>
    <t>Structural Engineering of the Surrounding Area</t>
  </si>
  <si>
    <t>206</t>
  </si>
  <si>
    <t>CMU1.9.3</t>
  </si>
  <si>
    <t>Architecture of the Surrounding Area</t>
  </si>
  <si>
    <t>207</t>
  </si>
  <si>
    <t>CMU1.9.4</t>
  </si>
  <si>
    <t>Electrical System of the Surrounding Area</t>
  </si>
  <si>
    <t>208</t>
  </si>
  <si>
    <t>CMU1.10</t>
  </si>
  <si>
    <t>Durable Goods</t>
  </si>
  <si>
    <t>209</t>
  </si>
  <si>
    <t>CMU1.10.1</t>
  </si>
  <si>
    <t>Floating furniture</t>
  </si>
  <si>
    <t>510 days</t>
  </si>
  <si>
    <t>September 4, 2020 5:00 PM</t>
  </si>
  <si>
    <t>Sep 4 '20</t>
  </si>
  <si>
    <t>210</t>
  </si>
  <si>
    <t>CMU1.10.1.1</t>
  </si>
  <si>
    <t>Floating furniture in the basement</t>
  </si>
  <si>
    <t>211</t>
  </si>
  <si>
    <t>CMU1.10.1.2</t>
  </si>
  <si>
    <t>Floating furniture on the first floor</t>
  </si>
  <si>
    <t>212</t>
  </si>
  <si>
    <t>CMU1.10.1.3</t>
  </si>
  <si>
    <t>Floating furniture on the second floor</t>
  </si>
  <si>
    <t>March 24, 2020 8:00 AM</t>
  </si>
  <si>
    <t>Mar 24 '20</t>
  </si>
  <si>
    <t>213</t>
  </si>
  <si>
    <t>CMU1.10.1.4</t>
  </si>
  <si>
    <t>Floating furniture on the third floor</t>
  </si>
  <si>
    <t>September 26, 2019 8:00 AM</t>
  </si>
  <si>
    <t>214</t>
  </si>
  <si>
    <t>CMU1.10.1.5</t>
  </si>
  <si>
    <t>Floating furniture on the fourth floor</t>
  </si>
  <si>
    <t>April 28, 2019 5:00 PM</t>
  </si>
  <si>
    <t>Apr 28 '19</t>
  </si>
  <si>
    <t>215</t>
  </si>
  <si>
    <t>CMU1.10.2</t>
  </si>
  <si>
    <t>Repair furniture work</t>
  </si>
  <si>
    <t>525 days</t>
  </si>
  <si>
    <t>March 30, 2019 8:00 AM</t>
  </si>
  <si>
    <t>216</t>
  </si>
  <si>
    <t>CMU1.10.2.1</t>
  </si>
  <si>
    <t>Furniture repair work on the first floor</t>
  </si>
  <si>
    <t>August 6, 2020 8:00 AM</t>
  </si>
  <si>
    <t>Aug 6 '20</t>
  </si>
  <si>
    <t>217</t>
  </si>
  <si>
    <t>CMU1.10.2.2</t>
  </si>
  <si>
    <t>Furniture repair work on the second floor</t>
  </si>
  <si>
    <t>March 9, 2020 8:00 AM</t>
  </si>
  <si>
    <t>218</t>
  </si>
  <si>
    <t>CMU1.10.2.3</t>
  </si>
  <si>
    <t>Furniture repair work on the third floor</t>
  </si>
  <si>
    <t>September 11, 2019 8:00 AM</t>
  </si>
  <si>
    <t>Sep 11 '19</t>
  </si>
  <si>
    <t>219</t>
  </si>
  <si>
    <t>CMU1.10.2.4</t>
  </si>
  <si>
    <t>Furniture repair work on the fourth floor</t>
  </si>
  <si>
    <t>220</t>
  </si>
  <si>
    <t>CMU1.10.3</t>
  </si>
  <si>
    <t>Curtain work</t>
  </si>
  <si>
    <t>221</t>
  </si>
  <si>
    <t>CMU1.10.3.1</t>
  </si>
  <si>
    <t>Curtain work on the first floor</t>
  </si>
  <si>
    <t>222</t>
  </si>
  <si>
    <t>CMU1.10.3.2</t>
  </si>
  <si>
    <t>Curtain on the second floor</t>
  </si>
  <si>
    <t>223</t>
  </si>
  <si>
    <t>CMU1.10.3.3</t>
  </si>
  <si>
    <t>Curtain on the third floor</t>
  </si>
  <si>
    <t>224</t>
  </si>
  <si>
    <t>CMU1.10.3.4</t>
  </si>
  <si>
    <t>Curtain on the fourth floor</t>
  </si>
  <si>
    <t>225</t>
  </si>
  <si>
    <t>CMU1.10.4</t>
  </si>
  <si>
    <t>Signs</t>
  </si>
  <si>
    <t>226</t>
  </si>
  <si>
    <t>CMU1.10.4.1</t>
  </si>
  <si>
    <t>Signs on the basement</t>
  </si>
  <si>
    <t>227</t>
  </si>
  <si>
    <t>CMU1.10.4.2</t>
  </si>
  <si>
    <t>Signs on the first floor</t>
  </si>
  <si>
    <t>228</t>
  </si>
  <si>
    <t>CMU1.10.4.3</t>
  </si>
  <si>
    <t>Signs on the second floor</t>
  </si>
  <si>
    <t>229</t>
  </si>
  <si>
    <t>CMU1.10.4.4</t>
  </si>
  <si>
    <t>Signs on the third floor</t>
  </si>
  <si>
    <t>230</t>
  </si>
  <si>
    <t>CMU1.10.4.5</t>
  </si>
  <si>
    <t>Signs on the fourth floor</t>
  </si>
  <si>
    <t>231</t>
  </si>
  <si>
    <t>CMU1.10.5</t>
  </si>
  <si>
    <t>Others</t>
  </si>
  <si>
    <t>232</t>
  </si>
  <si>
    <t>CMU1.10.5.1</t>
  </si>
  <si>
    <t>Aluminum cabinet folded up and painted used  to cover water dispenser</t>
  </si>
  <si>
    <t>233</t>
  </si>
  <si>
    <t>CMU1.10.6</t>
  </si>
  <si>
    <t>TWO WIRE REMOTE CONTROL LIGHTING SYSTEM</t>
  </si>
  <si>
    <t>234</t>
  </si>
  <si>
    <t>CMU1.10.6.1</t>
  </si>
  <si>
    <t>Two wire remote control lighting system for basement</t>
  </si>
  <si>
    <t>236</t>
  </si>
  <si>
    <t>235</t>
  </si>
  <si>
    <t>CMU1.10.6.2</t>
  </si>
  <si>
    <t>Two wire remote control lighting system for the first floor</t>
  </si>
  <si>
    <t>CMU1.10.6.3</t>
  </si>
  <si>
    <t>Two wire remote control lighting system for the second floor</t>
  </si>
  <si>
    <t>237</t>
  </si>
  <si>
    <t>235,234</t>
  </si>
  <si>
    <t>CMU1.10.6.4</t>
  </si>
  <si>
    <t>Two wire remote control lighting system for the third floor</t>
  </si>
  <si>
    <t>238</t>
  </si>
  <si>
    <t>CMU1.10.6.5</t>
  </si>
  <si>
    <t>Two wire remote control lighting system for the fourth floor</t>
  </si>
  <si>
    <t>239</t>
  </si>
  <si>
    <t>CMU1.10.7</t>
  </si>
  <si>
    <t>Sound system (Using previous speakers)</t>
  </si>
  <si>
    <t>539 days</t>
  </si>
  <si>
    <t>April 7, 2019 8:00 AM</t>
  </si>
  <si>
    <t>September 26, 2020 5:00 PM</t>
  </si>
  <si>
    <t>Apr 7 '19</t>
  </si>
  <si>
    <t>Sep 26 '20</t>
  </si>
  <si>
    <t>240</t>
  </si>
  <si>
    <t>CMU1.10.7.1</t>
  </si>
  <si>
    <t>Sound system for basement</t>
  </si>
  <si>
    <t>7 days</t>
  </si>
  <si>
    <t>241</t>
  </si>
  <si>
    <t>September 20, 2020 8:00 AM</t>
  </si>
  <si>
    <t>Sep 20 '20</t>
  </si>
  <si>
    <t>Sep 25 '20</t>
  </si>
  <si>
    <t>CMU1.10.7.2</t>
  </si>
  <si>
    <t>Sound system for the first floor</t>
  </si>
  <si>
    <t>September 13, 2020 8:00 AM</t>
  </si>
  <si>
    <t>Sep 13 '20</t>
  </si>
  <si>
    <t>242</t>
  </si>
  <si>
    <t>CMU1.10.7.3</t>
  </si>
  <si>
    <t>Sound system for the second floor</t>
  </si>
  <si>
    <t>April 1, 2020 8:00 AM</t>
  </si>
  <si>
    <t>Apr 1 '20</t>
  </si>
  <si>
    <t>243</t>
  </si>
  <si>
    <t>CMU1.10.7.4</t>
  </si>
  <si>
    <t>Sound system for the third floor</t>
  </si>
  <si>
    <t>October 4, 2019 8:00 AM</t>
  </si>
  <si>
    <t>Oct 4 '19</t>
  </si>
  <si>
    <t>244</t>
  </si>
  <si>
    <t>CMU1.10.7.5</t>
  </si>
  <si>
    <t>Sound system for the forth floor</t>
  </si>
  <si>
    <t>245</t>
  </si>
  <si>
    <t>CMU1.10.8</t>
  </si>
  <si>
    <t>CCTV system (Using the previous CCTV system)</t>
  </si>
  <si>
    <t>246</t>
  </si>
  <si>
    <t>CMU1.10.8.1</t>
  </si>
  <si>
    <t>CCTV Basement</t>
  </si>
  <si>
    <t>247</t>
  </si>
  <si>
    <t>CMU1.10.8.2</t>
  </si>
  <si>
    <t>CCTV on the first floor</t>
  </si>
  <si>
    <t>248</t>
  </si>
  <si>
    <t>CMU1.10.8.3</t>
  </si>
  <si>
    <t>CCTV on the second floor</t>
  </si>
  <si>
    <t>249</t>
  </si>
  <si>
    <t>CMU1.10.8.4</t>
  </si>
  <si>
    <t>CCTV on the thrid floor</t>
  </si>
  <si>
    <t>250</t>
  </si>
  <si>
    <t>CMU1.10.8.5</t>
  </si>
  <si>
    <t>CCTV on the fourth floor</t>
  </si>
  <si>
    <t>Predecessors2</t>
  </si>
  <si>
    <t>Xhij</t>
  </si>
  <si>
    <t>Resource type</t>
  </si>
  <si>
    <t>Resource</t>
  </si>
  <si>
    <t>ES</t>
  </si>
  <si>
    <t>EF</t>
  </si>
  <si>
    <t>LS</t>
  </si>
  <si>
    <t>LF</t>
  </si>
  <si>
    <t>TF</t>
  </si>
  <si>
    <t>Shift</t>
  </si>
  <si>
    <t>exception</t>
  </si>
  <si>
    <t>exception value</t>
  </si>
  <si>
    <t>Group exception</t>
  </si>
  <si>
    <t>Start project</t>
  </si>
  <si>
    <t>Start project value</t>
  </si>
  <si>
    <t>Finish project</t>
  </si>
  <si>
    <t>Finish project value</t>
  </si>
  <si>
    <t>NULL</t>
  </si>
  <si>
    <t xml:space="preserve"> </t>
  </si>
  <si>
    <t>10/17/18</t>
  </si>
  <si>
    <t>Factor</t>
  </si>
  <si>
    <t>Score</t>
  </si>
  <si>
    <t>Weight</t>
  </si>
  <si>
    <t>Objective Function</t>
  </si>
  <si>
    <t>Activity</t>
  </si>
  <si>
    <t>Quantity</t>
  </si>
  <si>
    <t>Output</t>
  </si>
  <si>
    <t>Worker</t>
  </si>
  <si>
    <t>Productivity</t>
  </si>
  <si>
    <t>Duration(Fix)</t>
  </si>
  <si>
    <t>Duration(Calculate)</t>
  </si>
  <si>
    <t>Worker(Calculate)</t>
  </si>
  <si>
    <t>Chiang Mai Library Renovation Project</t>
  </si>
  <si>
    <t>Preparation</t>
  </si>
  <si>
    <t>Work on the building and surrounding area</t>
  </si>
  <si>
    <t>Public utility system works</t>
  </si>
  <si>
    <t>Interior system test</t>
  </si>
  <si>
    <t>4th floor</t>
  </si>
  <si>
    <t>3rd floor</t>
  </si>
  <si>
    <t>2nd floor</t>
  </si>
  <si>
    <t>1st floor</t>
  </si>
  <si>
    <t>Basement and outside areas</t>
  </si>
  <si>
    <t>Eletricity supply, sanitary and original item checking tasks</t>
  </si>
  <si>
    <t>Paperwork on item usage permission, shop drawing and project items</t>
  </si>
  <si>
    <t>Shop drawing of the 4th floor</t>
  </si>
  <si>
    <t>Shop drawing of the 3rd floor</t>
  </si>
  <si>
    <t>Shop drawing of the 2nd floor</t>
  </si>
  <si>
    <t>Shop drawing of the 1st floor</t>
  </si>
  <si>
    <t>Shop drawing of the basement</t>
  </si>
  <si>
    <t>Shop drawing of the outside areas</t>
  </si>
  <si>
    <t>Shop drawing of the landscpae</t>
  </si>
  <si>
    <t>Shop drawing of item renovation</t>
  </si>
  <si>
    <t>Shop drawing of item purchasing</t>
  </si>
  <si>
    <t>System test work, workshop for building users and As-Built Drawing</t>
  </si>
  <si>
    <t>The whole building</t>
  </si>
  <si>
    <t>Building management and other works</t>
  </si>
  <si>
    <t>Zone T-1 the area in front of the original buidling</t>
  </si>
  <si>
    <t>Zone T-2 the area in the middle</t>
  </si>
  <si>
    <t>Zone T3 the area behind the new building</t>
  </si>
  <si>
    <t>Resource_Names</t>
  </si>
  <si>
    <t>โครงการปรับปรุงสำนักหอสมุด มหาวิทยาลัยเชียงใหม่</t>
  </si>
  <si>
    <t>หมวดเตรียมการ</t>
  </si>
  <si>
    <t>41 days</t>
  </si>
  <si>
    <t>งานอาคารสนามและผังบริเวณโครงการ</t>
  </si>
  <si>
    <t>4FS-7 days</t>
  </si>
  <si>
    <t>693 days</t>
  </si>
  <si>
    <t>Engineer</t>
  </si>
  <si>
    <t>งานเชื่อมต่อระบบสาธารณูปโภคโครงการ</t>
  </si>
  <si>
    <t>3FS-7 days</t>
  </si>
  <si>
    <t>งานตรวจทดสอบระบบภายในอาคารก่อนดำเนินการปรับปรุง</t>
  </si>
  <si>
    <t>ชั้นที่ 4</t>
  </si>
  <si>
    <t>7FS+150 days</t>
  </si>
  <si>
    <t>ชั้นที่ 3</t>
  </si>
  <si>
    <t>6FS+150 days</t>
  </si>
  <si>
    <t>8FS+150 days</t>
  </si>
  <si>
    <t>ชั้นที่ 2</t>
  </si>
  <si>
    <t>9FS+150 days</t>
  </si>
  <si>
    <t>ชั้นที่ 1</t>
  </si>
  <si>
    <t>10FS+150 days</t>
  </si>
  <si>
    <t>ชั้นใต้ดินและภายนอก</t>
  </si>
  <si>
    <t>งานสำรวจอุปกรณ์ไฟฟ้า, สุขภัณฑ์และครุภัณฑ์ (ของเดิม) ก่อนดำเนินการปรับปรุง</t>
  </si>
  <si>
    <t>13FS+150 days</t>
  </si>
  <si>
    <t>12FS+150 days</t>
  </si>
  <si>
    <t>14FS+150 days</t>
  </si>
  <si>
    <t>15FS+150 days</t>
  </si>
  <si>
    <t>16FS+150 days</t>
  </si>
  <si>
    <t>งานเอกสารขออนุมัติใช้วัสดุ, Shop Drawing และครุภัณฑ์ของโครงการ</t>
  </si>
  <si>
    <t>610 days</t>
  </si>
  <si>
    <t>แบบ Shop Drawing ชั้นที่ 4</t>
  </si>
  <si>
    <t>19,25SS+14 days,26SS+14 days</t>
  </si>
  <si>
    <t>แบบ Shop Drawing ชั้นที่ 3</t>
  </si>
  <si>
    <t>20FS-7 days</t>
  </si>
  <si>
    <t>611 days</t>
  </si>
  <si>
    <t>แบบ Shop Drawing ชั้นที่ 2</t>
  </si>
  <si>
    <t>19FS-7 days</t>
  </si>
  <si>
    <t>21FS-7 days</t>
  </si>
  <si>
    <t>แบบ Shop Drawing ชั้นที่ 1</t>
  </si>
  <si>
    <t>22FS-7 days</t>
  </si>
  <si>
    <t>แบบ Shop Drawing ชั้นใต้ดิน</t>
  </si>
  <si>
    <t>23FS-7 days</t>
  </si>
  <si>
    <t>แบบ Shop Drawing ภายนอกอาคาร</t>
  </si>
  <si>
    <t>24FS-7 days</t>
  </si>
  <si>
    <t>แบบ Shop Drawing landscape</t>
  </si>
  <si>
    <t>แบบ Shop Drawing งานปรับปรุง ครุภัณฑ์</t>
  </si>
  <si>
    <t>18SS+14 days</t>
  </si>
  <si>
    <t>แบบ Shop Drawing งานจัดซื้อครุภัณฑ์</t>
  </si>
  <si>
    <t>งานตรวจทดสอบระบบ, งานอบรมผู้ใช้อาคาร และ As-Built Drawing</t>
  </si>
  <si>
    <t>ชั้นใต้ดิน</t>
  </si>
  <si>
    <t>ทั้งอาคาร</t>
  </si>
  <si>
    <t>งานบริหารงานก่อสร้างและงานอื่น ๆ</t>
  </si>
  <si>
    <t>หมวดงานปรับปรุงอาคาร ชั้น 4</t>
  </si>
  <si>
    <t>245 days</t>
  </si>
  <si>
    <t>งานรื้อถอน ชั้น 4 (รื้อขนไป)</t>
  </si>
  <si>
    <t>39FS+45 days,40FS+45 days,51,63SS+14 days,80,109,140,180FS+14 days,186FS+14 days,198FS+14 days,199FS+14 days,200FS+14 days,238FS+14 days</t>
  </si>
  <si>
    <t>General worker</t>
  </si>
  <si>
    <t>งานสถาปัตยกรรม ชั้น 4</t>
  </si>
  <si>
    <t>326 days</t>
  </si>
  <si>
    <t>งานฝ้าเพดาน</t>
  </si>
  <si>
    <t>551 days</t>
  </si>
  <si>
    <t>Skilled carpenter</t>
  </si>
  <si>
    <t>งานพื้น</t>
  </si>
  <si>
    <t>36FS+45 days</t>
  </si>
  <si>
    <t>งานผนัง</t>
  </si>
  <si>
    <t>งานประตูหน้าต่าง</t>
  </si>
  <si>
    <t>งานบันได</t>
  </si>
  <si>
    <t>งานสี</t>
  </si>
  <si>
    <t>งานสุขภัณฑ์</t>
  </si>
  <si>
    <t>ZONE T-1 ด้านหน้า อาคารเก่า</t>
  </si>
  <si>
    <t>46FS+135 days</t>
  </si>
  <si>
    <t>47FS+135 days</t>
  </si>
  <si>
    <t>Sanitary-Plumber</t>
  </si>
  <si>
    <t>ZONE T-2 กลาง</t>
  </si>
  <si>
    <t>45FS+135 days</t>
  </si>
  <si>
    <t>ZONE T-3 ด้านหลัง อาคารใหม่</t>
  </si>
  <si>
    <t>งานระบบสุขาภิบาล ชั้น 4</t>
  </si>
  <si>
    <t>278 days</t>
  </si>
  <si>
    <t>งานระบบท่อจ่ายน้ำประปา</t>
  </si>
  <si>
    <t>51FS+15 days</t>
  </si>
  <si>
    <t>52FS+15 days</t>
  </si>
  <si>
    <t>50FS+15 days,46,55SS</t>
  </si>
  <si>
    <t>50FS+15 days</t>
  </si>
  <si>
    <t>งานระบบท่อน้ำโสโครก ท่อน้ำทิ้งทั่วไป และท่ออากาศ</t>
  </si>
  <si>
    <t>55FS+15 days</t>
  </si>
  <si>
    <t>56FS+15 days</t>
  </si>
  <si>
    <t>54FS+15 days,46</t>
  </si>
  <si>
    <t>54FS+15 days</t>
  </si>
  <si>
    <t>งานระบบไฟฟ้า ชั้น 4</t>
  </si>
  <si>
    <t>555 days</t>
  </si>
  <si>
    <t>งานดวงโคมไฟฟ้า</t>
  </si>
  <si>
    <t>60FS+7 days</t>
  </si>
  <si>
    <t>Electrician</t>
  </si>
  <si>
    <t>งานสวิทช์, เต้ารับไฟฟ้า</t>
  </si>
  <si>
    <t>งานสายไฟฟ้า, ท่อร้อยสาย</t>
  </si>
  <si>
    <t>63SS+30 days</t>
  </si>
  <si>
    <t>58FS+7 days,59FS+7 days</t>
  </si>
  <si>
    <t>งานสายลำโพง, ท่อร้อยสาย</t>
  </si>
  <si>
    <t>592 days</t>
  </si>
  <si>
    <t>งานสายระบบกล้องวงจรปิด, ท่อร้อยสาย</t>
  </si>
  <si>
    <t>งานครุภัณฑ์จัดจ้างหรือสั่งทำ ชั้น 4</t>
  </si>
  <si>
    <t>36SS+14 days</t>
  </si>
  <si>
    <t>62SS+30 days,60SS+30 days,61SS+30 days,65,214,219FS-15 days,224,230,244FS-7 days,250FS-7 days</t>
  </si>
  <si>
    <t>หมวดงานปรับปรุงอาคาร ชั้น 3</t>
  </si>
  <si>
    <t>149 days</t>
  </si>
  <si>
    <t>งานรื้อถอน ชั้น 3 (รื้อขนไป)</t>
  </si>
  <si>
    <t>68FS+45 days,69FS+45 days,92SS</t>
  </si>
  <si>
    <t>งานสถาปัตยกรรม ชั้น 3</t>
  </si>
  <si>
    <t>372 days</t>
  </si>
  <si>
    <t>65FS+45 days</t>
  </si>
  <si>
    <t>75FS+135 days</t>
  </si>
  <si>
    <t>76FS+135 days</t>
  </si>
  <si>
    <t>74FS+135 days</t>
  </si>
  <si>
    <t>งานระบบสุขาภิบาล ชั้น 3</t>
  </si>
  <si>
    <t>80FS+15 days</t>
  </si>
  <si>
    <t>81FS+15 days</t>
  </si>
  <si>
    <t>79FS+15 days,84SS,75</t>
  </si>
  <si>
    <t>79FS+15 days</t>
  </si>
  <si>
    <t>84FS+15 days</t>
  </si>
  <si>
    <t>85FS+15 days</t>
  </si>
  <si>
    <t>83FS+15 days,75</t>
  </si>
  <si>
    <t>83FS+15 days</t>
  </si>
  <si>
    <t>งานระบบไฟฟ้า ชั้น 3</t>
  </si>
  <si>
    <t>360 days</t>
  </si>
  <si>
    <t>89FS+7 days</t>
  </si>
  <si>
    <t>92SS+30 days</t>
  </si>
  <si>
    <t>88FS+7 days,87FS+7 days</t>
  </si>
  <si>
    <t>427 days</t>
  </si>
  <si>
    <t>งานครุภัณฑ์จัดจ้างหรือสั่งทำ ชั้น 3</t>
  </si>
  <si>
    <t>91SS+30 days,90SS+30 days,89SS+30 days,94,213FS-15 days,218FS-30 days,223FS-15 days,229FS-15 days,243FS-7 days,249FS-7 days</t>
  </si>
  <si>
    <t>หมวดงานปรับปรุงอาคาร ชั้น 2</t>
  </si>
  <si>
    <t>177 days</t>
  </si>
  <si>
    <t>งานรื้อถอน ชั้น 2 (รื้อขนไป)</t>
  </si>
  <si>
    <t>97FS+45 days,98FS+45 days,121SS</t>
  </si>
  <si>
    <t>งานสถาปัตยกรรม ชั้น 2</t>
  </si>
  <si>
    <t>192 days</t>
  </si>
  <si>
    <t>94FS+45 days</t>
  </si>
  <si>
    <t>104FS+135 days</t>
  </si>
  <si>
    <t>105FS+135 days</t>
  </si>
  <si>
    <t>103FS+135 days</t>
  </si>
  <si>
    <t>งานระบบสุขาภิบาล ชั้น 2</t>
  </si>
  <si>
    <t>109FS+15 days</t>
  </si>
  <si>
    <t>110FS+15 days</t>
  </si>
  <si>
    <t>113SS,104,108FS+15 days</t>
  </si>
  <si>
    <t>108FS+15 days</t>
  </si>
  <si>
    <t>113FS+15 days</t>
  </si>
  <si>
    <t>114FS+15 days</t>
  </si>
  <si>
    <t>104,112FS+15 days</t>
  </si>
  <si>
    <t>112FS+15 days</t>
  </si>
  <si>
    <t>งานระบบไฟฟ้า ชั้น 2</t>
  </si>
  <si>
    <t>118FS+7 days</t>
  </si>
  <si>
    <t>121SS+30 days</t>
  </si>
  <si>
    <t>117FS+7 days,116FS+7 days</t>
  </si>
  <si>
    <t>247 days</t>
  </si>
  <si>
    <t>งานครุภัณฑ์จัดจ้างหรือสั่งทำ ชั้น 2</t>
  </si>
  <si>
    <t>120SS+30 days,119SS+30 days,118SS+30 days,123,212FS-15 days,217FS-30 days,222FS-15 days,228FS-15 days,242FS-7 days,248FS-7 days</t>
  </si>
  <si>
    <t>หมวดงานปรับปรุงอาคาร ชั้น 1</t>
  </si>
  <si>
    <t>44 days</t>
  </si>
  <si>
    <t>งานรื้อถอน ชั้น 1 (รื้อขนไป)</t>
  </si>
  <si>
    <t>124,127FS+45 days,128FS+45 days,131FS+45 days,152SS,193SS,194SS,195SS,196SS,197SS,202SS,204SS,205SS,206SS,207SS</t>
  </si>
  <si>
    <t>งานโครงสร้างวิศวกรรม ชั้น 1</t>
  </si>
  <si>
    <t>72 days</t>
  </si>
  <si>
    <t>งานสถาปัตยกรรม ชั้น 1</t>
  </si>
  <si>
    <t>12 days</t>
  </si>
  <si>
    <t>123FS+45 days</t>
  </si>
  <si>
    <t>งานตกแต่งอื่น ๆ</t>
  </si>
  <si>
    <t>42 days</t>
  </si>
  <si>
    <t>135FS+135 days</t>
  </si>
  <si>
    <t>136FS+135 days</t>
  </si>
  <si>
    <t>134FS+135 days,164FS+135 days</t>
  </si>
  <si>
    <t>134FS+135 days</t>
  </si>
  <si>
    <t>งานระบบสุขาภิบาล ชั้น 1</t>
  </si>
  <si>
    <t>140FS+15 days</t>
  </si>
  <si>
    <t>141FS+15 days</t>
  </si>
  <si>
    <t>139FS+15 days,144SS,135,167FS+15 days</t>
  </si>
  <si>
    <t>139FS+15 days</t>
  </si>
  <si>
    <t>144FS+15 days</t>
  </si>
  <si>
    <t>145FS+15 days</t>
  </si>
  <si>
    <t>143FS+15 days,135,169FS+15 days</t>
  </si>
  <si>
    <t>143FS+15 days</t>
  </si>
  <si>
    <t>งานระบบไฟฟ้า ชั้น 1</t>
  </si>
  <si>
    <t>149FS+7 days</t>
  </si>
  <si>
    <t>152SS+30 days</t>
  </si>
  <si>
    <t>148FS+7 days,147FS+7 days</t>
  </si>
  <si>
    <t>67 days</t>
  </si>
  <si>
    <t>งานครุภัณฑ์จัดจ้างหรือสั่งทำ ชั้น 1</t>
  </si>
  <si>
    <t>151SS+30 days,150SS+30 days,149SS+30 days,154SS,211FS-30 days,210FS-30 days,216FS-45 days,221FS-30 days,227FS-30 days,226FS-30 days,232FS-45 days,241FS-7 days,247FS-7 days</t>
  </si>
  <si>
    <t>หมวดงานปรับปรุงอาคาร ชั้นใต้ดิน</t>
  </si>
  <si>
    <t>งานรื้อถอน ชั้นใต้ดิน (รื้อขนไป)</t>
  </si>
  <si>
    <t>155,158FS+45 days,159FS+45 days,177SS,176SS,175SS,174SS</t>
  </si>
  <si>
    <t>งานโครงสร้างวิศวกรรม ชั้นใต้ดิน</t>
  </si>
  <si>
    <t>งานสถาปัตยกรรม ชั้นใต้ดิน</t>
  </si>
  <si>
    <t>320 days</t>
  </si>
  <si>
    <t>154FS+45 days</t>
  </si>
  <si>
    <t>395 days</t>
  </si>
  <si>
    <t>งานระบบสุขาภิบาล ชั้นใต้ดิน</t>
  </si>
  <si>
    <t>419 days</t>
  </si>
  <si>
    <t>170FS+300 days</t>
  </si>
  <si>
    <t>งานระบบระบายน้ำฝน</t>
  </si>
  <si>
    <t>169FS+300 days</t>
  </si>
  <si>
    <t>งานระบบไฟฟ้า ชั้นใต้ดิน</t>
  </si>
  <si>
    <t>174FS+7 days</t>
  </si>
  <si>
    <t>173FS+7 days,172FS+7 days</t>
  </si>
  <si>
    <t>97 days</t>
  </si>
  <si>
    <t>งานครุภัณฑ์จัดจ้างหรือสั่งทำ ชั้นใต้ดิน</t>
  </si>
  <si>
    <t>หมวดงานระบบคอมพิวเตอร์และแจ้งเหตุเพลิงไหม้</t>
  </si>
  <si>
    <t>2 days</t>
  </si>
  <si>
    <t>งานระบบคอมพิวเตอร์</t>
  </si>
  <si>
    <t>36FS+14 days</t>
  </si>
  <si>
    <t>ระบบแจ้งเหตุเพลิงไหม้</t>
  </si>
  <si>
    <t>หมวดงานสีภายนอก งานซ่อมแซมและตกแต่งภายนอกอาคาร</t>
  </si>
  <si>
    <t>507 days</t>
  </si>
  <si>
    <t>งานสีภายนอกและงานซ่อมแซมพื้นผิวภายนอกอาคาร</t>
  </si>
  <si>
    <t>งานขัดลอกสีทาผนังเดิม</t>
  </si>
  <si>
    <t>น้ำยาทาปูนเก่า (สีรองพื้น)</t>
  </si>
  <si>
    <t>งานทาสีภายนอก (ทา 2 เที่ยว) ไม่รวมชั้นใต้ดิน</t>
  </si>
  <si>
    <t>งานทำความสะอาดและซ่อมแซมผนังกรุอิฐโชว์แนว (อ้างอิงราคางานขัดลอกสี)</t>
  </si>
  <si>
    <t>น้ำยาเคลือบผิวผนังอิฐโชว์แนว  (อ้างอิงค่าทาน้ำยากันเชื้อรา)</t>
  </si>
  <si>
    <t>งานรื้อถอนแผ่นวัสดุกันซึมหลังคาดาดฟ้า (รื้อขนไป)</t>
  </si>
  <si>
    <t>582 days</t>
  </si>
  <si>
    <t>งานแผ่นวัสดุกันซึมแบบเป่าไฟผิวทราย</t>
  </si>
  <si>
    <t>งานกันซึมชนิด Polyurethane สูตรน้ำมัน ชนิดยืดหยุ่นสูงเป็นพิเศษ</t>
  </si>
  <si>
    <t>งานตกแต่งภายนอกอาคาร</t>
  </si>
  <si>
    <t>ตะแกรงเหล็กฉีกกันนก XS-32</t>
  </si>
  <si>
    <t>หมวดงานบริเวณ</t>
  </si>
  <si>
    <t>งานรื้อถอน งานบริเวณ</t>
  </si>
  <si>
    <t>งานโครงสร้างวิศวกรรม งานบริเวณ</t>
  </si>
  <si>
    <t>งานสถาปัตยกรรม งานบริเวณ</t>
  </si>
  <si>
    <t>งานระบบไฟฟ้า งานบริเวณ</t>
  </si>
  <si>
    <t>หมวดงานครุภัณฑ์จัดซื้อ</t>
  </si>
  <si>
    <t>งานเฟอร์นิเจอร์ลอยตัว</t>
  </si>
  <si>
    <t>522 days</t>
  </si>
  <si>
    <t>27 days</t>
  </si>
  <si>
    <t>งานเฟอร์นิเจอร์ลอยตัวชั้นใต้ดิน</t>
  </si>
  <si>
    <t>152FS-30 days</t>
  </si>
  <si>
    <t>งานเฟอร์นิเจอร์ลอยตัวชั้น 1</t>
  </si>
  <si>
    <t>งานเฟอร์นิเจอร์ลอยตัวชั้น 2</t>
  </si>
  <si>
    <t>121FS-15 days</t>
  </si>
  <si>
    <t>งานเฟอร์นิเจอร์ลอยตัวชั้น 3</t>
  </si>
  <si>
    <t>92FS-15 days</t>
  </si>
  <si>
    <t>357 days</t>
  </si>
  <si>
    <t>งานเฟอร์นิเจอร์ลอยตัวชั้น 4</t>
  </si>
  <si>
    <t>งานซ่อมแซมเฟอร์นิเจอร์</t>
  </si>
  <si>
    <t>งานซ่อมแซมเฟอร์นิเจอร์ ชั้น 1</t>
  </si>
  <si>
    <t>152FS-45 days</t>
  </si>
  <si>
    <t>งานซ่อมแซมเฟอร์นิเจอร์ ชั้น 2</t>
  </si>
  <si>
    <t>121FS-30 days</t>
  </si>
  <si>
    <t>งานซ่อมแซมเฟอร์นิเจอร์ ชั้น 3</t>
  </si>
  <si>
    <t>92FS-30 days</t>
  </si>
  <si>
    <t>งานซ่อมแซมเฟอร์นิเจอร์ ชั้น 4</t>
  </si>
  <si>
    <t>63FS-15 days</t>
  </si>
  <si>
    <t>งานผ้าม่าน</t>
  </si>
  <si>
    <t>งานผ้าม่าน ชั้น 1</t>
  </si>
  <si>
    <t>งานผ้าม่าน ชั้น 2</t>
  </si>
  <si>
    <t>งานผ้าม่าน ชั้น 3</t>
  </si>
  <si>
    <t>งานผ้าม่าน ชั้น 4</t>
  </si>
  <si>
    <t>งานป้าย</t>
  </si>
  <si>
    <t>งานป้าย ชั้นใต้ดิน</t>
  </si>
  <si>
    <t>งานป้าย ชั้น 1</t>
  </si>
  <si>
    <t>งานป้าย ชั้น 2</t>
  </si>
  <si>
    <t>งานป้าย ชั้น 3</t>
  </si>
  <si>
    <t>งานป้าย ชั้น 4</t>
  </si>
  <si>
    <t>งานอื่นๆ</t>
  </si>
  <si>
    <t>ตู้อลูมิเนียมพับขึ้นรูป พ่นสี ครอบตู้กดน้ำ</t>
  </si>
  <si>
    <t>งานระบบควบคุมไฟฟ้าแสงสว่างด้วยคอมพิวเตอร์</t>
  </si>
  <si>
    <t>งานระบบควบคุมไฟฟ้าแสงสว่างด้วยคอมพิวเตอร์ ชั้นใต้ดิน</t>
  </si>
  <si>
    <t>งานระบบควบคุมไฟฟ้าแสงสว่างด้วยคอมพิวเตอร์ ชั้น 1</t>
  </si>
  <si>
    <t>งานระบบควบคุมไฟฟ้าแสงสว่างด้วยคอมพิวเตอร์ ชั้น 2</t>
  </si>
  <si>
    <t>งานระบบควบคุมไฟฟ้าแสงสว่างด้วยคอมพิวเตอร์ ชั้น 3</t>
  </si>
  <si>
    <t>งานระบบควบคุมไฟฟ้าแสงสว่างด้วยคอมพิวเตอร์ ชั้น 4</t>
  </si>
  <si>
    <t>งานระบบเครื่องเสียงประกาศ (ใช้ลำโพงของเดิม)</t>
  </si>
  <si>
    <t>530 days</t>
  </si>
  <si>
    <t>5 days</t>
  </si>
  <si>
    <t>งานเครื่องเสียงประกาศ ชั้นใต้ดิน</t>
  </si>
  <si>
    <t>งานเครื่องเสียงประกาศ ชั้น 1</t>
  </si>
  <si>
    <t>152FS-7 days</t>
  </si>
  <si>
    <t>งานเครื่องเสียงประกาศ ชั้น 2</t>
  </si>
  <si>
    <t>121FS-7 days</t>
  </si>
  <si>
    <t>งานเครื่องเสียงประกาศ ชั้น 3</t>
  </si>
  <si>
    <t>92FS-7 days</t>
  </si>
  <si>
    <t>งานเครื่องเสียงประกาศ ชั้น 4</t>
  </si>
  <si>
    <t>63FS-7 days</t>
  </si>
  <si>
    <t>537 days</t>
  </si>
  <si>
    <t>งานระบบกล้องวงจรปิด (ใช้กล้องวงจรปิดของเดิม)</t>
  </si>
  <si>
    <t>งานกล้องวงจรปิด ชั้นใต้ดิน</t>
  </si>
  <si>
    <t>งานกล้องวงจรปิด ชั้น 1</t>
  </si>
  <si>
    <t>งานกล้องวงจรปิด ชั้น 2</t>
  </si>
  <si>
    <t>งานกล้องวงจรปิด ชั้น 3</t>
  </si>
  <si>
    <t>งานกล้องวงจรปิด ชั้น 4</t>
  </si>
  <si>
    <t>Resource Name</t>
  </si>
  <si>
    <t>Resource Type Limit</t>
  </si>
  <si>
    <t>Resource Over Limit</t>
  </si>
  <si>
    <t>Resource All</t>
  </si>
  <si>
    <t>10/5/20</t>
  </si>
  <si>
    <t>UNUSED</t>
  </si>
  <si>
    <t>Method + #Operators(Legacy)</t>
  </si>
  <si>
    <t>Mutation Rate (Legacy)</t>
  </si>
  <si>
    <t>Crossover Rate (Legacy)</t>
  </si>
  <si>
    <t>Description</t>
  </si>
  <si>
    <t># Time Blocks/All Groups Must Be Present</t>
  </si>
  <si>
    <t>Constraint Range</t>
  </si>
  <si>
    <t>#Ranges</t>
  </si>
  <si>
    <t>Adj. Range</t>
  </si>
  <si>
    <t>Min Val or Range</t>
  </si>
  <si>
    <t>Max Val Or Range</t>
  </si>
  <si>
    <t>Flags</t>
  </si>
  <si>
    <t>Type (Hard/Soft)</t>
  </si>
  <si>
    <t>Entry Mode</t>
  </si>
  <si>
    <t>Formula</t>
  </si>
  <si>
    <t>Left Val Or Range</t>
  </si>
  <si>
    <t>Left Operator</t>
  </si>
  <si>
    <t>Constrained Cells</t>
  </si>
  <si>
    <t>Right Operator</t>
  </si>
  <si>
    <t>Right Val Or Range</t>
  </si>
  <si>
    <t>Penalty Function</t>
  </si>
  <si>
    <t>RO Eval Time (Iter/Sim)</t>
  </si>
  <si>
    <t>RO Statistic to Constrain</t>
  </si>
  <si>
    <t>RO Statistic Parameter</t>
  </si>
  <si>
    <t>Precision (added 6.0)</t>
  </si>
  <si>
    <t>RO Auto Eval Time (added 6.0)</t>
  </si>
  <si>
    <t>Is Disabled</t>
  </si>
  <si>
    <t>Use for EF</t>
  </si>
  <si>
    <t>EF Settings Have Been Defined</t>
  </si>
  <si>
    <t>EF Location of Constraining Values</t>
  </si>
  <si>
    <t>EF Min Constraining Value</t>
  </si>
  <si>
    <t>EF Max Constraining Value</t>
  </si>
  <si>
    <t>EF # of Constraining Values Between Min and Max</t>
  </si>
  <si>
    <t>EF Range with Constraining Values</t>
  </si>
  <si>
    <t>EF # of Constraining Values Listed</t>
  </si>
  <si>
    <t>Formula Conversion Cell (not used in v5)</t>
  </si>
  <si>
    <t>Number Formatting Cell (introduced in v5)</t>
  </si>
  <si>
    <t>Out Stats</t>
  </si>
  <si>
    <t>Mean</t>
  </si>
  <si>
    <t>Std. Dev.</t>
  </si>
  <si>
    <t>Min</t>
  </si>
  <si>
    <t>Max</t>
  </si>
  <si>
    <t>RISKOpt Tag</t>
  </si>
  <si>
    <t># Chromosomes</t>
  </si>
  <si>
    <t># Constraints</t>
  </si>
  <si>
    <t>Compatibility with Old Versions (4 trips pre-v5 versions)</t>
  </si>
  <si>
    <t>Creation Version</t>
  </si>
  <si>
    <t>Required Version</t>
  </si>
  <si>
    <t>Recommended Version</t>
  </si>
  <si>
    <t>Last Modified by Version</t>
  </si>
  <si>
    <t>Genetic Algorithm - Discrete Variable Warning Shown</t>
  </si>
  <si>
    <t>ColorOptimizationCells Called</t>
  </si>
  <si>
    <t>Constraint Solver, number of Latin Hypercube stratifications, for reproducing results with Actual Convergence</t>
  </si>
  <si>
    <t>Constraint Solver, total of adjustable cell values, to only pass number of stratifications if model hasn't changed</t>
  </si>
  <si>
    <t>Goal (Cell, Statistic, Parameter), E1: RO Formula to Optimize</t>
  </si>
  <si>
    <t>Goal (Type, Target Value)</t>
  </si>
  <si>
    <t>VERSION 6.0 SETTINGS</t>
  </si>
  <si>
    <t>Optimization Engine</t>
  </si>
  <si>
    <t>Mutation Rate (becoming a single settings for all adjustable cell groups)</t>
  </si>
  <si>
    <t>Crossover Rate (becoming a single settings for all adjustable cell groups)</t>
  </si>
  <si>
    <t>Genetic Operators (becoming a single settings for all adjustable cell groups)</t>
  </si>
  <si>
    <t>Stopping on Projected Convergence (added in version 6; other simulation runtime settings got moved to @RISK)</t>
  </si>
  <si>
    <t>Population Size</t>
  </si>
  <si>
    <t>Seed (Is Auto, Value)</t>
  </si>
  <si>
    <t>Same Seed Each Simulation (this was used in RISKOptimizer version 5 and earlier)</t>
  </si>
  <si>
    <t>Sampling Type (this was used in RISKOptimizer version 5 and earlier)</t>
  </si>
  <si>
    <t>Stop on Errors (before v5: Pause on Errors)</t>
  </si>
  <si>
    <t>Trial Count Stopping (enabled, trial count)</t>
  </si>
  <si>
    <t>Formula Stopping (enabled, formula)</t>
  </si>
  <si>
    <t>Timespan Stopping (enabled, trial count)</t>
  </si>
  <si>
    <t>Progress Stopping (enabled, trial count, max % change, change is percent)</t>
  </si>
  <si>
    <t>Version 8 Settings</t>
  </si>
  <si>
    <t>Optimization Multi-CPU Mode</t>
  </si>
  <si>
    <t>CPU Count</t>
  </si>
  <si>
    <t>EF Stopping Conditions</t>
  </si>
  <si>
    <t>EF Stop on Trials</t>
  </si>
  <si>
    <t>EF Trial Count</t>
  </si>
  <si>
    <t>EF Stop on Time</t>
  </si>
  <si>
    <t>EF Time Duration</t>
  </si>
  <si>
    <t>EF Time Unit</t>
  </si>
  <si>
    <t>EF Stop on Progress</t>
  </si>
  <si>
    <t>EF Trials (Progress)</t>
  </si>
  <si>
    <t>EF Max. Change (Progress)</t>
  </si>
  <si>
    <t>EF Max. Change is Percent (Progress)</t>
  </si>
  <si>
    <t>Sim. Stopping Mode, Tolerance (legacy settings used in v5 and earlier)</t>
  </si>
  <si>
    <t>#Iterations - Sim Stopping (legacy setting used in v5 and earlier))</t>
  </si>
  <si>
    <t>Keep Trial-by-Trial Log (if cell has anything other than False consider True, since Evolver 4 didn't have this setting); this setting no longer used staring with version 6</t>
  </si>
  <si>
    <t>Minimize Excel on Startup</t>
  </si>
  <si>
    <t>Show Excel Recalcs (replaces "Update Display" used before v5)</t>
  </si>
  <si>
    <t>Ev4/RO1: Graph Progress</t>
  </si>
  <si>
    <t>Ev4/RO1: Update Display (replaced by Show Excel Recalcs in v5)</t>
  </si>
  <si>
    <t>MACROS</t>
  </si>
  <si>
    <t>Start (enabled, macro)</t>
  </si>
  <si>
    <t>Before Recalc (enabled, macro), starting with v6 RISKOptimizer uses corresponding @RISK macro</t>
  </si>
  <si>
    <t>After Recalc (enabled, macro), starting with v6 RISKOptimizer uses corresponding @RISK macro</t>
  </si>
  <si>
    <t>After Storage (enabled, macro)</t>
  </si>
  <si>
    <t>Finish (enabled, macro)</t>
  </si>
  <si>
    <t>Macro Before Simulation (enabled, macro), starting with v6, this is legacy setting</t>
  </si>
  <si>
    <t>Macro After Simulation (enabled, macro), starting with v6, this is legacy setting</t>
  </si>
  <si>
    <t>EFFICIENT FRONTIER</t>
  </si>
  <si>
    <t>Analysis Type (Standard vs. Efficient Frontier)</t>
  </si>
  <si>
    <t>EF Item to Constrain</t>
  </si>
  <si>
    <t>EF Constraint Minimum</t>
  </si>
  <si>
    <t>EF Constraint Maximum</t>
  </si>
  <si>
    <t>EF Formula for Dtools</t>
  </si>
  <si>
    <t>1,1,1,1,1,1,1,1,1,1,1</t>
  </si>
  <si>
    <t>8.0.0</t>
  </si>
  <si>
    <t>4.0.0</t>
  </si>
  <si>
    <t>DEFAULT PARENT SELECTION</t>
  </si>
  <si>
    <t>DEFAULT MUTATION</t>
  </si>
  <si>
    <t>DEFAULT CROSSOVER</t>
  </si>
  <si>
    <t>DEFAULT BACKTRACK</t>
  </si>
  <si>
    <t>ARITHMETIC CROSSOVER</t>
  </si>
  <si>
    <t>HEURISTIC CROSSOVER</t>
  </si>
  <si>
    <t>CAUCHY MUTATION</t>
  </si>
  <si>
    <t>BOUNDARY MUTATION</t>
  </si>
  <si>
    <t>NON-UNIFORM MUTATION</t>
  </si>
  <si>
    <t>LINEAR</t>
  </si>
  <si>
    <t>LOCAL SEARCH</t>
  </si>
  <si>
    <t>RECIPE_x0001_11</t>
  </si>
  <si>
    <t/>
  </si>
  <si>
    <t>False,False,False</t>
  </si>
  <si>
    <t>7.0.0</t>
  </si>
  <si>
    <t>183SS</t>
  </si>
  <si>
    <t>189SS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</si>
</sst>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00"/>
  </numFmts>
  <fonts count="8" x14ac:knownFonts="1">
    <font>
      <sz val="11"/>
      <color theme="1"/>
      <name val="Calibri"/>
      <family val="2"/>
      <scheme val="minor"/>
    </font>
    <font>
      <sz val="11"/>
      <color rgb="FF000000"/>
      <name val="Tahoma"/>
      <family val="2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10"/>
      <name val="Arial"/>
      <family val="2"/>
    </font>
    <font>
      <b/>
      <i/>
      <sz val="10"/>
      <name val="Arial"/>
      <family val="2"/>
    </font>
    <font>
      <b/>
      <i/>
      <vertAlign val="subscript"/>
      <sz val="10"/>
      <name val="Arial"/>
      <family val="2"/>
    </font>
    <font>
      <sz val="1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C80000"/>
        <bgColor indexed="64"/>
      </patternFill>
    </fill>
    <fill>
      <patternFill patternType="solid">
        <fgColor rgb="FFFF00FF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</borders>
  <cellStyleXfs count="1">
    <xf numFmtId="0" fontId="0" fillId="0" borderId="0"/>
  </cellStyleXfs>
  <cellXfs count="54">
    <xf numFmtId="0" fontId="0" fillId="0" borderId="0" xfId="0"/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 vertical="center"/>
    </xf>
    <xf numFmtId="14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/>
    <xf numFmtId="0" fontId="0" fillId="0" borderId="0" xfId="0" applyFill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/>
    <xf numFmtId="0" fontId="2" fillId="0" borderId="0" xfId="0" applyFont="1" applyAlignment="1"/>
    <xf numFmtId="3" fontId="0" fillId="0" borderId="0" xfId="0" applyNumberFormat="1"/>
    <xf numFmtId="4" fontId="4" fillId="0" borderId="0" xfId="0" applyNumberFormat="1" applyFont="1"/>
    <xf numFmtId="4" fontId="0" fillId="0" borderId="0" xfId="0" applyNumberFormat="1"/>
    <xf numFmtId="4" fontId="0" fillId="4" borderId="1" xfId="0" applyNumberFormat="1" applyFill="1" applyBorder="1"/>
    <xf numFmtId="4" fontId="0" fillId="0" borderId="1" xfId="0" applyNumberFormat="1" applyBorder="1" applyAlignment="1">
      <alignment horizontal="center"/>
    </xf>
    <xf numFmtId="4" fontId="0" fillId="0" borderId="1" xfId="0" applyNumberFormat="1" applyBorder="1"/>
    <xf numFmtId="4" fontId="0" fillId="4" borderId="1" xfId="0" applyNumberFormat="1" applyFill="1" applyBorder="1" applyAlignment="1">
      <alignment horizontal="center"/>
    </xf>
    <xf numFmtId="4" fontId="0" fillId="5" borderId="1" xfId="0" applyNumberFormat="1" applyFill="1" applyBorder="1" applyAlignment="1">
      <alignment horizontal="center"/>
    </xf>
    <xf numFmtId="4" fontId="0" fillId="6" borderId="0" xfId="0" applyNumberFormat="1" applyFill="1" applyAlignment="1">
      <alignment horizontal="right"/>
    </xf>
    <xf numFmtId="0" fontId="4" fillId="7" borderId="1" xfId="0" applyFont="1" applyFill="1" applyBorder="1" applyAlignment="1">
      <alignment horizontal="center"/>
    </xf>
    <xf numFmtId="4" fontId="0" fillId="5" borderId="2" xfId="0" applyNumberFormat="1" applyFill="1" applyBorder="1" applyAlignment="1">
      <alignment horizontal="center"/>
    </xf>
    <xf numFmtId="4" fontId="0" fillId="0" borderId="4" xfId="0" applyNumberFormat="1" applyBorder="1"/>
    <xf numFmtId="0" fontId="0" fillId="0" borderId="5" xfId="0" applyBorder="1"/>
    <xf numFmtId="4" fontId="0" fillId="0" borderId="1" xfId="0" applyNumberFormat="1" applyFill="1" applyBorder="1" applyAlignment="1">
      <alignment horizontal="center"/>
    </xf>
    <xf numFmtId="4" fontId="0" fillId="8" borderId="1" xfId="0" applyNumberFormat="1" applyFill="1" applyBorder="1"/>
    <xf numFmtId="164" fontId="0" fillId="8" borderId="1" xfId="0" applyNumberFormat="1" applyFill="1" applyBorder="1" applyAlignment="1">
      <alignment horizontal="center"/>
    </xf>
    <xf numFmtId="164" fontId="0" fillId="5" borderId="1" xfId="0" applyNumberFormat="1" applyFill="1" applyBorder="1" applyAlignment="1">
      <alignment horizontal="center"/>
    </xf>
    <xf numFmtId="164" fontId="0" fillId="7" borderId="1" xfId="0" applyNumberFormat="1" applyFill="1" applyBorder="1" applyAlignment="1">
      <alignment horizontal="center"/>
    </xf>
    <xf numFmtId="164" fontId="0" fillId="4" borderId="1" xfId="0" applyNumberFormat="1" applyFill="1" applyBorder="1" applyAlignment="1">
      <alignment horizontal="center"/>
    </xf>
    <xf numFmtId="164" fontId="0" fillId="6" borderId="0" xfId="0" applyNumberFormat="1" applyFill="1"/>
    <xf numFmtId="49" fontId="7" fillId="3" borderId="0" xfId="0" applyNumberFormat="1" applyFont="1" applyFill="1"/>
    <xf numFmtId="1" fontId="0" fillId="0" borderId="0" xfId="0" applyNumberFormat="1"/>
    <xf numFmtId="0" fontId="0" fillId="3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0" borderId="0" xfId="0" applyAlignment="1">
      <alignment horizontal="left"/>
    </xf>
    <xf numFmtId="0" fontId="0" fillId="0" borderId="8" xfId="0" applyBorder="1" applyAlignment="1">
      <alignment horizontal="left"/>
    </xf>
    <xf numFmtId="0" fontId="0" fillId="14" borderId="0" xfId="0" applyFill="1" applyAlignment="1">
      <alignment horizontal="left"/>
    </xf>
    <xf numFmtId="0" fontId="0" fillId="12" borderId="0" xfId="0" applyFill="1" applyAlignment="1">
      <alignment horizontal="left"/>
    </xf>
    <xf numFmtId="0" fontId="0" fillId="3" borderId="0" xfId="0" applyFill="1" applyAlignment="1">
      <alignment horizontal="left"/>
    </xf>
    <xf numFmtId="0" fontId="0" fillId="14" borderId="0" xfId="0" quotePrefix="1" applyFill="1" applyAlignment="1">
      <alignment horizontal="left"/>
    </xf>
    <xf numFmtId="0" fontId="0" fillId="0" borderId="0" xfId="0" quotePrefix="1" applyAlignment="1">
      <alignment horizontal="left"/>
    </xf>
    <xf numFmtId="1" fontId="0" fillId="0" borderId="0" xfId="0" applyNumberFormat="1" applyAlignment="1">
      <alignment horizontal="left"/>
    </xf>
    <xf numFmtId="1" fontId="0" fillId="14" borderId="0" xfId="0" applyNumberFormat="1" applyFill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4" fontId="0" fillId="0" borderId="3" xfId="0" applyNumberFormat="1" applyBorder="1" applyAlignment="1">
      <alignment horizontal="center"/>
    </xf>
    <xf numFmtId="4" fontId="0" fillId="0" borderId="6" xfId="0" applyNumberFormat="1" applyBorder="1" applyAlignment="1">
      <alignment horizontal="center"/>
    </xf>
    <xf numFmtId="4" fontId="0" fillId="0" borderId="7" xfId="0" applyNumberForma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7</xdr:row>
          <xdr:rowOff>12700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Set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PDM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11</xdr:row>
          <xdr:rowOff>12700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Set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Resource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11</xdr:row>
          <xdr:rowOff>177800</xdr:rowOff>
        </xdr:from>
        <xdr:to>
          <xdr:col>1</xdr:col>
          <xdr:colOff>1282700</xdr:colOff>
          <xdr:row>15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Workplan Duration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Calculation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16</xdr:row>
          <xdr:rowOff>12700</xdr:rowOff>
        </xdr:from>
        <xdr:to>
          <xdr:col>2</xdr:col>
          <xdr:colOff>0</xdr:colOff>
          <xdr:row>19</xdr:row>
          <xdr:rowOff>25400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Auto Duration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Calculation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4</xdr:row>
          <xdr:rowOff>0</xdr:rowOff>
        </xdr:from>
        <xdr:to>
          <xdr:col>4</xdr:col>
          <xdr:colOff>609600</xdr:colOff>
          <xdr:row>7</xdr:row>
          <xdr:rowOff>12700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Workplan Resource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Calculation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8</xdr:row>
          <xdr:rowOff>12700</xdr:rowOff>
        </xdr:from>
        <xdr:to>
          <xdr:col>4</xdr:col>
          <xdr:colOff>609600</xdr:colOff>
          <xdr:row>11</xdr:row>
          <xdr:rowOff>25400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Auto Resource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Calculation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12</xdr:row>
          <xdr:rowOff>25400</xdr:rowOff>
        </xdr:from>
        <xdr:to>
          <xdr:col>4</xdr:col>
          <xdr:colOff>622300</xdr:colOff>
          <xdr:row>15</xdr:row>
          <xdr:rowOff>25400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863600</xdr:colOff>
          <xdr:row>16</xdr:row>
          <xdr:rowOff>25400</xdr:rowOff>
        </xdr:from>
        <xdr:to>
          <xdr:col>4</xdr:col>
          <xdr:colOff>596900</xdr:colOff>
          <xdr:row>19</xdr:row>
          <xdr:rowOff>25400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2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Export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20</xdr:row>
          <xdr:rowOff>12700</xdr:rowOff>
        </xdr:from>
        <xdr:to>
          <xdr:col>2</xdr:col>
          <xdr:colOff>0</xdr:colOff>
          <xdr:row>23</xdr:row>
          <xdr:rowOff>25400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2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4D458-9129-4274-BC50-8DFF1FA0A7E3}">
  <sheetPr codeName="Sheet6"/>
  <dimension ref="A1:W251"/>
  <sheetViews>
    <sheetView tabSelected="1" workbookViewId="0">
      <pane ySplit="1" topLeftCell="A2" activePane="bottomLeft" state="frozen"/>
      <selection pane="bottomLeft" activeCell="I1" sqref="I1"/>
    </sheetView>
  </sheetViews>
  <sheetFormatPr baseColWidth="10" defaultColWidth="8.83203125" defaultRowHeight="15" x14ac:dyDescent="0.2"/>
  <cols>
    <col min="8" max="9" width="11.5" customWidth="1"/>
    <col min="10" max="10" width="12.33203125" customWidth="1"/>
    <col min="12" max="12" width="8.83203125" style="40"/>
  </cols>
  <sheetData>
    <row r="1" spans="1:23" x14ac:dyDescent="0.2">
      <c r="A1" s="8" t="s">
        <v>26</v>
      </c>
      <c r="B1" s="8" t="s">
        <v>27</v>
      </c>
      <c r="C1" s="8" t="s">
        <v>28</v>
      </c>
      <c r="D1" s="8" t="s">
        <v>29</v>
      </c>
      <c r="E1" s="8" t="s">
        <v>30</v>
      </c>
      <c r="F1" s="8" t="s">
        <v>31</v>
      </c>
      <c r="G1" s="8" t="s">
        <v>32</v>
      </c>
      <c r="H1" s="8" t="s">
        <v>33</v>
      </c>
      <c r="I1" s="8" t="s">
        <v>1015</v>
      </c>
      <c r="J1" s="8" t="s">
        <v>34</v>
      </c>
      <c r="K1" s="8" t="s">
        <v>35</v>
      </c>
      <c r="L1" s="49" t="s">
        <v>36</v>
      </c>
      <c r="M1" s="8" t="s">
        <v>37</v>
      </c>
      <c r="N1" s="8" t="s">
        <v>38</v>
      </c>
      <c r="O1" s="8" t="s">
        <v>39</v>
      </c>
      <c r="P1" s="8" t="s">
        <v>40</v>
      </c>
      <c r="Q1" s="8" t="s">
        <v>41</v>
      </c>
      <c r="R1" s="8" t="s">
        <v>42</v>
      </c>
      <c r="S1" s="8" t="s">
        <v>43</v>
      </c>
      <c r="T1" s="8" t="s">
        <v>44</v>
      </c>
      <c r="U1" s="8" t="s">
        <v>45</v>
      </c>
      <c r="V1" s="8" t="s">
        <v>46</v>
      </c>
      <c r="W1" s="8" t="s">
        <v>1074</v>
      </c>
    </row>
    <row r="2" spans="1:23" x14ac:dyDescent="0.2">
      <c r="A2" s="8" t="s">
        <v>0</v>
      </c>
      <c r="B2" s="8" t="s">
        <v>47</v>
      </c>
      <c r="C2" s="8" t="s">
        <v>48</v>
      </c>
      <c r="D2" s="8" t="s">
        <v>49</v>
      </c>
      <c r="E2" s="8" t="s">
        <v>1075</v>
      </c>
      <c r="F2" s="8" t="s">
        <v>50</v>
      </c>
      <c r="G2" s="8" t="s">
        <v>0</v>
      </c>
      <c r="H2" s="8"/>
      <c r="I2" s="8"/>
      <c r="J2" s="8"/>
      <c r="K2" s="8" t="s">
        <v>51</v>
      </c>
      <c r="L2" s="49" t="s">
        <v>52</v>
      </c>
      <c r="M2" s="8"/>
      <c r="N2" s="8"/>
      <c r="O2" s="8"/>
      <c r="P2" s="8"/>
      <c r="Q2" s="8" t="s">
        <v>55</v>
      </c>
      <c r="R2" s="8" t="s">
        <v>56</v>
      </c>
      <c r="S2" s="8" t="s">
        <v>47</v>
      </c>
      <c r="T2" s="8" t="s">
        <v>212</v>
      </c>
      <c r="U2" s="8" t="s">
        <v>212</v>
      </c>
      <c r="V2" s="8" t="s">
        <v>212</v>
      </c>
      <c r="W2" s="8"/>
    </row>
    <row r="3" spans="1:23" x14ac:dyDescent="0.2">
      <c r="A3" s="8" t="s">
        <v>57</v>
      </c>
      <c r="B3" s="8" t="s">
        <v>47</v>
      </c>
      <c r="C3" s="8" t="s">
        <v>58</v>
      </c>
      <c r="D3" s="8" t="s">
        <v>49</v>
      </c>
      <c r="E3" s="8" t="s">
        <v>1076</v>
      </c>
      <c r="F3" s="8" t="s">
        <v>59</v>
      </c>
      <c r="G3" s="8" t="s">
        <v>57</v>
      </c>
      <c r="H3" s="8"/>
      <c r="I3" s="8"/>
      <c r="J3" s="8"/>
      <c r="K3" s="8" t="s">
        <v>51</v>
      </c>
      <c r="L3" s="49" t="s">
        <v>60</v>
      </c>
      <c r="M3" s="8"/>
      <c r="N3" s="8"/>
      <c r="O3" s="8"/>
      <c r="P3" s="8"/>
      <c r="Q3" s="8" t="s">
        <v>55</v>
      </c>
      <c r="R3" s="8" t="s">
        <v>56</v>
      </c>
      <c r="S3" s="8" t="s">
        <v>47</v>
      </c>
      <c r="T3" s="8" t="s">
        <v>1077</v>
      </c>
      <c r="U3" s="8" t="s">
        <v>1077</v>
      </c>
      <c r="V3" s="8" t="s">
        <v>1077</v>
      </c>
      <c r="W3" s="8"/>
    </row>
    <row r="4" spans="1:23" x14ac:dyDescent="0.2">
      <c r="A4" s="8" t="s">
        <v>1</v>
      </c>
      <c r="B4" s="8" t="s">
        <v>47</v>
      </c>
      <c r="C4" s="8" t="s">
        <v>63</v>
      </c>
      <c r="D4" s="8" t="s">
        <v>49</v>
      </c>
      <c r="E4" s="8" t="s">
        <v>1078</v>
      </c>
      <c r="F4" s="8" t="s">
        <v>64</v>
      </c>
      <c r="G4" s="8" t="s">
        <v>1</v>
      </c>
      <c r="H4" s="8" t="s">
        <v>1079</v>
      </c>
      <c r="I4" s="8"/>
      <c r="J4" s="8"/>
      <c r="K4" s="8" t="s">
        <v>65</v>
      </c>
      <c r="L4" s="49" t="s">
        <v>66</v>
      </c>
      <c r="M4" s="8"/>
      <c r="N4" s="8"/>
      <c r="O4" s="8"/>
      <c r="P4" s="8"/>
      <c r="Q4" s="8" t="s">
        <v>70</v>
      </c>
      <c r="R4" s="8" t="s">
        <v>71</v>
      </c>
      <c r="S4" s="8" t="s">
        <v>72</v>
      </c>
      <c r="T4" s="8" t="s">
        <v>1080</v>
      </c>
      <c r="U4" s="8" t="s">
        <v>1080</v>
      </c>
      <c r="V4" s="8" t="s">
        <v>1080</v>
      </c>
      <c r="W4" s="8" t="s">
        <v>1081</v>
      </c>
    </row>
    <row r="5" spans="1:23" x14ac:dyDescent="0.2">
      <c r="A5" s="8" t="s">
        <v>73</v>
      </c>
      <c r="B5" s="8" t="s">
        <v>47</v>
      </c>
      <c r="C5" s="8" t="s">
        <v>74</v>
      </c>
      <c r="D5" s="8" t="s">
        <v>49</v>
      </c>
      <c r="E5" s="8" t="s">
        <v>1082</v>
      </c>
      <c r="F5" s="8" t="s">
        <v>75</v>
      </c>
      <c r="G5" s="8" t="s">
        <v>1</v>
      </c>
      <c r="H5" s="8"/>
      <c r="I5" s="8"/>
      <c r="J5" s="8" t="s">
        <v>1083</v>
      </c>
      <c r="K5" s="8" t="s">
        <v>51</v>
      </c>
      <c r="L5" s="49" t="s">
        <v>76</v>
      </c>
      <c r="M5" s="8"/>
      <c r="N5" s="8"/>
      <c r="O5" s="8"/>
      <c r="P5" s="8"/>
      <c r="Q5" s="8" t="s">
        <v>55</v>
      </c>
      <c r="R5" s="8" t="s">
        <v>56</v>
      </c>
      <c r="S5" s="8" t="s">
        <v>72</v>
      </c>
      <c r="T5" s="8" t="s">
        <v>1080</v>
      </c>
      <c r="U5" s="8" t="s">
        <v>1080</v>
      </c>
      <c r="V5" s="8" t="s">
        <v>212</v>
      </c>
      <c r="W5" s="8" t="s">
        <v>1081</v>
      </c>
    </row>
    <row r="6" spans="1:23" x14ac:dyDescent="0.2">
      <c r="A6" s="8" t="s">
        <v>80</v>
      </c>
      <c r="B6" s="8" t="s">
        <v>47</v>
      </c>
      <c r="C6" s="8" t="s">
        <v>81</v>
      </c>
      <c r="D6" s="8" t="s">
        <v>49</v>
      </c>
      <c r="E6" s="8" t="s">
        <v>1084</v>
      </c>
      <c r="F6" s="8" t="s">
        <v>59</v>
      </c>
      <c r="G6" s="8" t="s">
        <v>1</v>
      </c>
      <c r="H6" s="8"/>
      <c r="I6" s="8"/>
      <c r="J6" s="8"/>
      <c r="K6" s="8" t="s">
        <v>51</v>
      </c>
      <c r="L6" s="49" t="s">
        <v>60</v>
      </c>
      <c r="M6" s="8"/>
      <c r="N6" s="8"/>
      <c r="O6" s="8"/>
      <c r="P6" s="8"/>
      <c r="Q6" s="8" t="s">
        <v>55</v>
      </c>
      <c r="R6" s="8" t="s">
        <v>56</v>
      </c>
      <c r="S6" s="8" t="s">
        <v>47</v>
      </c>
      <c r="T6" s="8" t="s">
        <v>1077</v>
      </c>
      <c r="U6" s="8" t="s">
        <v>1077</v>
      </c>
      <c r="V6" s="8" t="s">
        <v>1077</v>
      </c>
      <c r="W6" s="8"/>
    </row>
    <row r="7" spans="1:23" x14ac:dyDescent="0.2">
      <c r="A7" s="8" t="s">
        <v>2</v>
      </c>
      <c r="B7" s="8" t="s">
        <v>47</v>
      </c>
      <c r="C7" s="8" t="s">
        <v>82</v>
      </c>
      <c r="D7" s="8" t="s">
        <v>49</v>
      </c>
      <c r="E7" s="8" t="s">
        <v>1085</v>
      </c>
      <c r="F7" s="8" t="s">
        <v>83</v>
      </c>
      <c r="G7" s="8" t="s">
        <v>73</v>
      </c>
      <c r="H7" s="8"/>
      <c r="I7" s="8"/>
      <c r="J7" s="8" t="s">
        <v>1086</v>
      </c>
      <c r="K7" s="8" t="s">
        <v>51</v>
      </c>
      <c r="L7" s="49" t="s">
        <v>84</v>
      </c>
      <c r="M7" s="8"/>
      <c r="N7" s="8"/>
      <c r="O7" s="8"/>
      <c r="P7" s="8"/>
      <c r="Q7" s="8" t="s">
        <v>55</v>
      </c>
      <c r="R7" s="8" t="s">
        <v>56</v>
      </c>
      <c r="S7" s="8" t="s">
        <v>72</v>
      </c>
      <c r="T7" s="8" t="s">
        <v>1077</v>
      </c>
      <c r="U7" s="8" t="s">
        <v>1077</v>
      </c>
      <c r="V7" s="8" t="s">
        <v>212</v>
      </c>
      <c r="W7" s="8" t="s">
        <v>1081</v>
      </c>
    </row>
    <row r="8" spans="1:23" x14ac:dyDescent="0.2">
      <c r="A8" s="8" t="s">
        <v>87</v>
      </c>
      <c r="B8" s="8" t="s">
        <v>47</v>
      </c>
      <c r="C8" s="8" t="s">
        <v>88</v>
      </c>
      <c r="D8" s="8" t="s">
        <v>49</v>
      </c>
      <c r="E8" s="8" t="s">
        <v>1087</v>
      </c>
      <c r="F8" s="8" t="s">
        <v>83</v>
      </c>
      <c r="G8" s="8" t="s">
        <v>73</v>
      </c>
      <c r="H8" s="8" t="s">
        <v>1088</v>
      </c>
      <c r="I8" s="8"/>
      <c r="J8" s="8" t="s">
        <v>1089</v>
      </c>
      <c r="K8" s="8" t="s">
        <v>89</v>
      </c>
      <c r="L8" s="49" t="s">
        <v>90</v>
      </c>
      <c r="M8" s="8"/>
      <c r="N8" s="8"/>
      <c r="O8" s="8"/>
      <c r="P8" s="8"/>
      <c r="Q8" s="8" t="s">
        <v>55</v>
      </c>
      <c r="R8" s="8" t="s">
        <v>56</v>
      </c>
      <c r="S8" s="8" t="s">
        <v>72</v>
      </c>
      <c r="T8" s="8" t="s">
        <v>1077</v>
      </c>
      <c r="U8" s="8" t="s">
        <v>1077</v>
      </c>
      <c r="V8" s="8" t="s">
        <v>212</v>
      </c>
      <c r="W8" s="8" t="s">
        <v>1081</v>
      </c>
    </row>
    <row r="9" spans="1:23" x14ac:dyDescent="0.2">
      <c r="A9" s="8" t="s">
        <v>95</v>
      </c>
      <c r="B9" s="8" t="s">
        <v>47</v>
      </c>
      <c r="C9" s="8" t="s">
        <v>96</v>
      </c>
      <c r="D9" s="8" t="s">
        <v>49</v>
      </c>
      <c r="E9" s="8" t="s">
        <v>1090</v>
      </c>
      <c r="F9" s="8" t="s">
        <v>83</v>
      </c>
      <c r="G9" s="8" t="s">
        <v>73</v>
      </c>
      <c r="H9" s="8" t="s">
        <v>1086</v>
      </c>
      <c r="I9" s="8"/>
      <c r="J9" s="8" t="s">
        <v>1091</v>
      </c>
      <c r="K9" s="8" t="s">
        <v>97</v>
      </c>
      <c r="L9" s="49" t="s">
        <v>98</v>
      </c>
      <c r="M9" s="8"/>
      <c r="N9" s="8"/>
      <c r="O9" s="8"/>
      <c r="P9" s="8"/>
      <c r="Q9" s="8" t="s">
        <v>55</v>
      </c>
      <c r="R9" s="8" t="s">
        <v>56</v>
      </c>
      <c r="S9" s="8" t="s">
        <v>72</v>
      </c>
      <c r="T9" s="8" t="s">
        <v>1077</v>
      </c>
      <c r="U9" s="8" t="s">
        <v>1077</v>
      </c>
      <c r="V9" s="8" t="s">
        <v>212</v>
      </c>
      <c r="W9" s="8" t="s">
        <v>1081</v>
      </c>
    </row>
    <row r="10" spans="1:23" x14ac:dyDescent="0.2">
      <c r="A10" s="8" t="s">
        <v>3</v>
      </c>
      <c r="B10" s="8" t="s">
        <v>47</v>
      </c>
      <c r="C10" s="8" t="s">
        <v>103</v>
      </c>
      <c r="D10" s="8" t="s">
        <v>49</v>
      </c>
      <c r="E10" s="8" t="s">
        <v>1092</v>
      </c>
      <c r="F10" s="8" t="s">
        <v>83</v>
      </c>
      <c r="G10" s="8" t="s">
        <v>73</v>
      </c>
      <c r="H10" s="8" t="s">
        <v>1089</v>
      </c>
      <c r="I10" s="8"/>
      <c r="J10" s="8" t="s">
        <v>1093</v>
      </c>
      <c r="K10" s="8" t="s">
        <v>104</v>
      </c>
      <c r="L10" s="49" t="s">
        <v>105</v>
      </c>
      <c r="M10" s="8"/>
      <c r="N10" s="8"/>
      <c r="O10" s="8"/>
      <c r="P10" s="8"/>
      <c r="Q10" s="8" t="s">
        <v>55</v>
      </c>
      <c r="R10" s="8" t="s">
        <v>56</v>
      </c>
      <c r="S10" s="8" t="s">
        <v>72</v>
      </c>
      <c r="T10" s="8" t="s">
        <v>1077</v>
      </c>
      <c r="U10" s="8" t="s">
        <v>1077</v>
      </c>
      <c r="V10" s="8" t="s">
        <v>212</v>
      </c>
      <c r="W10" s="8" t="s">
        <v>1081</v>
      </c>
    </row>
    <row r="11" spans="1:23" x14ac:dyDescent="0.2">
      <c r="A11" s="8" t="s">
        <v>110</v>
      </c>
      <c r="B11" s="8" t="s">
        <v>47</v>
      </c>
      <c r="C11" s="8" t="s">
        <v>111</v>
      </c>
      <c r="D11" s="8" t="s">
        <v>49</v>
      </c>
      <c r="E11" s="8" t="s">
        <v>1094</v>
      </c>
      <c r="F11" s="8" t="s">
        <v>83</v>
      </c>
      <c r="G11" s="8" t="s">
        <v>73</v>
      </c>
      <c r="H11" s="8" t="s">
        <v>1091</v>
      </c>
      <c r="I11" s="8"/>
      <c r="J11" s="8"/>
      <c r="K11" s="8" t="s">
        <v>112</v>
      </c>
      <c r="L11" s="49" t="s">
        <v>60</v>
      </c>
      <c r="M11" s="8"/>
      <c r="N11" s="8"/>
      <c r="O11" s="8"/>
      <c r="P11" s="8"/>
      <c r="Q11" s="8" t="s">
        <v>55</v>
      </c>
      <c r="R11" s="8" t="s">
        <v>56</v>
      </c>
      <c r="S11" s="8" t="s">
        <v>72</v>
      </c>
      <c r="T11" s="8" t="s">
        <v>1077</v>
      </c>
      <c r="U11" s="8" t="s">
        <v>1077</v>
      </c>
      <c r="V11" s="8" t="s">
        <v>1077</v>
      </c>
      <c r="W11" s="8" t="s">
        <v>1081</v>
      </c>
    </row>
    <row r="12" spans="1:23" x14ac:dyDescent="0.2">
      <c r="A12" s="8" t="s">
        <v>115</v>
      </c>
      <c r="B12" s="8" t="s">
        <v>47</v>
      </c>
      <c r="C12" s="8" t="s">
        <v>116</v>
      </c>
      <c r="D12" s="8" t="s">
        <v>49</v>
      </c>
      <c r="E12" s="8" t="s">
        <v>1095</v>
      </c>
      <c r="F12" s="8" t="s">
        <v>59</v>
      </c>
      <c r="G12" s="8" t="s">
        <v>1</v>
      </c>
      <c r="H12" s="8"/>
      <c r="I12" s="8"/>
      <c r="J12" s="8"/>
      <c r="K12" s="8" t="s">
        <v>51</v>
      </c>
      <c r="L12" s="49" t="s">
        <v>60</v>
      </c>
      <c r="M12" s="8"/>
      <c r="N12" s="8"/>
      <c r="O12" s="8"/>
      <c r="P12" s="8"/>
      <c r="Q12" s="8" t="s">
        <v>55</v>
      </c>
      <c r="R12" s="8" t="s">
        <v>56</v>
      </c>
      <c r="S12" s="8" t="s">
        <v>47</v>
      </c>
      <c r="T12" s="8" t="s">
        <v>1077</v>
      </c>
      <c r="U12" s="8" t="s">
        <v>1077</v>
      </c>
      <c r="V12" s="8" t="s">
        <v>1077</v>
      </c>
      <c r="W12" s="8"/>
    </row>
    <row r="13" spans="1:23" x14ac:dyDescent="0.2">
      <c r="A13" s="8" t="s">
        <v>117</v>
      </c>
      <c r="B13" s="8" t="s">
        <v>47</v>
      </c>
      <c r="C13" s="8" t="s">
        <v>118</v>
      </c>
      <c r="D13" s="8" t="s">
        <v>49</v>
      </c>
      <c r="E13" s="8" t="s">
        <v>1085</v>
      </c>
      <c r="F13" s="8" t="s">
        <v>83</v>
      </c>
      <c r="G13" s="8" t="s">
        <v>73</v>
      </c>
      <c r="H13" s="8"/>
      <c r="I13" s="8"/>
      <c r="J13" s="8" t="s">
        <v>1096</v>
      </c>
      <c r="K13" s="8" t="s">
        <v>51</v>
      </c>
      <c r="L13" s="49" t="s">
        <v>84</v>
      </c>
      <c r="M13" s="8"/>
      <c r="N13" s="8"/>
      <c r="O13" s="8"/>
      <c r="P13" s="8"/>
      <c r="Q13" s="8" t="s">
        <v>55</v>
      </c>
      <c r="R13" s="8" t="s">
        <v>56</v>
      </c>
      <c r="S13" s="8" t="s">
        <v>72</v>
      </c>
      <c r="T13" s="8" t="s">
        <v>1077</v>
      </c>
      <c r="U13" s="8" t="s">
        <v>1077</v>
      </c>
      <c r="V13" s="8" t="s">
        <v>212</v>
      </c>
      <c r="W13" s="8" t="s">
        <v>1081</v>
      </c>
    </row>
    <row r="14" spans="1:23" x14ac:dyDescent="0.2">
      <c r="A14" s="8" t="s">
        <v>119</v>
      </c>
      <c r="B14" s="8" t="s">
        <v>47</v>
      </c>
      <c r="C14" s="8" t="s">
        <v>120</v>
      </c>
      <c r="D14" s="8" t="s">
        <v>49</v>
      </c>
      <c r="E14" s="8" t="s">
        <v>1087</v>
      </c>
      <c r="F14" s="8" t="s">
        <v>83</v>
      </c>
      <c r="G14" s="8" t="s">
        <v>73</v>
      </c>
      <c r="H14" s="8" t="s">
        <v>1097</v>
      </c>
      <c r="I14" s="8"/>
      <c r="J14" s="8" t="s">
        <v>1098</v>
      </c>
      <c r="K14" s="8" t="s">
        <v>89</v>
      </c>
      <c r="L14" s="49" t="s">
        <v>90</v>
      </c>
      <c r="M14" s="8"/>
      <c r="N14" s="8"/>
      <c r="O14" s="8"/>
      <c r="P14" s="8"/>
      <c r="Q14" s="8" t="s">
        <v>55</v>
      </c>
      <c r="R14" s="8" t="s">
        <v>56</v>
      </c>
      <c r="S14" s="8" t="s">
        <v>72</v>
      </c>
      <c r="T14" s="8" t="s">
        <v>1077</v>
      </c>
      <c r="U14" s="8" t="s">
        <v>1077</v>
      </c>
      <c r="V14" s="8" t="s">
        <v>212</v>
      </c>
      <c r="W14" s="8" t="s">
        <v>1081</v>
      </c>
    </row>
    <row r="15" spans="1:23" x14ac:dyDescent="0.2">
      <c r="A15" s="8" t="s">
        <v>121</v>
      </c>
      <c r="B15" s="8" t="s">
        <v>47</v>
      </c>
      <c r="C15" s="8" t="s">
        <v>122</v>
      </c>
      <c r="D15" s="8" t="s">
        <v>49</v>
      </c>
      <c r="E15" s="8" t="s">
        <v>1090</v>
      </c>
      <c r="F15" s="8" t="s">
        <v>83</v>
      </c>
      <c r="G15" s="8" t="s">
        <v>73</v>
      </c>
      <c r="H15" s="8" t="s">
        <v>1096</v>
      </c>
      <c r="I15" s="8"/>
      <c r="J15" s="8" t="s">
        <v>1099</v>
      </c>
      <c r="K15" s="8" t="s">
        <v>97</v>
      </c>
      <c r="L15" s="49" t="s">
        <v>98</v>
      </c>
      <c r="M15" s="8"/>
      <c r="N15" s="8"/>
      <c r="O15" s="8"/>
      <c r="P15" s="8"/>
      <c r="Q15" s="8" t="s">
        <v>55</v>
      </c>
      <c r="R15" s="8" t="s">
        <v>56</v>
      </c>
      <c r="S15" s="8" t="s">
        <v>72</v>
      </c>
      <c r="T15" s="8" t="s">
        <v>1077</v>
      </c>
      <c r="U15" s="8" t="s">
        <v>1077</v>
      </c>
      <c r="V15" s="8" t="s">
        <v>212</v>
      </c>
      <c r="W15" s="8" t="s">
        <v>1081</v>
      </c>
    </row>
    <row r="16" spans="1:23" x14ac:dyDescent="0.2">
      <c r="A16" s="8" t="s">
        <v>123</v>
      </c>
      <c r="B16" s="8" t="s">
        <v>47</v>
      </c>
      <c r="C16" s="8" t="s">
        <v>124</v>
      </c>
      <c r="D16" s="8" t="s">
        <v>49</v>
      </c>
      <c r="E16" s="8" t="s">
        <v>1092</v>
      </c>
      <c r="F16" s="8" t="s">
        <v>83</v>
      </c>
      <c r="G16" s="8" t="s">
        <v>73</v>
      </c>
      <c r="H16" s="8" t="s">
        <v>1098</v>
      </c>
      <c r="I16" s="8"/>
      <c r="J16" s="8" t="s">
        <v>1100</v>
      </c>
      <c r="K16" s="8" t="s">
        <v>104</v>
      </c>
      <c r="L16" s="49" t="s">
        <v>105</v>
      </c>
      <c r="M16" s="8"/>
      <c r="N16" s="8"/>
      <c r="O16" s="8"/>
      <c r="P16" s="8"/>
      <c r="Q16" s="8" t="s">
        <v>55</v>
      </c>
      <c r="R16" s="8" t="s">
        <v>56</v>
      </c>
      <c r="S16" s="8" t="s">
        <v>72</v>
      </c>
      <c r="T16" s="8" t="s">
        <v>1077</v>
      </c>
      <c r="U16" s="8" t="s">
        <v>1077</v>
      </c>
      <c r="V16" s="8" t="s">
        <v>212</v>
      </c>
      <c r="W16" s="8" t="s">
        <v>1081</v>
      </c>
    </row>
    <row r="17" spans="1:23" x14ac:dyDescent="0.2">
      <c r="A17" s="8" t="s">
        <v>125</v>
      </c>
      <c r="B17" s="8" t="s">
        <v>47</v>
      </c>
      <c r="C17" s="8" t="s">
        <v>126</v>
      </c>
      <c r="D17" s="8" t="s">
        <v>49</v>
      </c>
      <c r="E17" s="8" t="s">
        <v>1094</v>
      </c>
      <c r="F17" s="8" t="s">
        <v>83</v>
      </c>
      <c r="G17" s="8" t="s">
        <v>73</v>
      </c>
      <c r="H17" s="8" t="s">
        <v>1099</v>
      </c>
      <c r="I17" s="8"/>
      <c r="J17" s="8"/>
      <c r="K17" s="8" t="s">
        <v>112</v>
      </c>
      <c r="L17" s="49" t="s">
        <v>60</v>
      </c>
      <c r="M17" s="8"/>
      <c r="N17" s="8"/>
      <c r="O17" s="8"/>
      <c r="P17" s="8"/>
      <c r="Q17" s="8" t="s">
        <v>55</v>
      </c>
      <c r="R17" s="8" t="s">
        <v>56</v>
      </c>
      <c r="S17" s="8" t="s">
        <v>72</v>
      </c>
      <c r="T17" s="8" t="s">
        <v>1077</v>
      </c>
      <c r="U17" s="8" t="s">
        <v>1077</v>
      </c>
      <c r="V17" s="8" t="s">
        <v>1077</v>
      </c>
      <c r="W17" s="8" t="s">
        <v>1081</v>
      </c>
    </row>
    <row r="18" spans="1:23" x14ac:dyDescent="0.2">
      <c r="A18" s="8" t="s">
        <v>127</v>
      </c>
      <c r="B18" s="8" t="s">
        <v>47</v>
      </c>
      <c r="C18" s="8" t="s">
        <v>128</v>
      </c>
      <c r="D18" s="8" t="s">
        <v>49</v>
      </c>
      <c r="E18" s="8" t="s">
        <v>1101</v>
      </c>
      <c r="F18" s="8" t="s">
        <v>129</v>
      </c>
      <c r="G18" s="8" t="s">
        <v>1</v>
      </c>
      <c r="H18" s="8"/>
      <c r="I18" s="8"/>
      <c r="J18" s="8"/>
      <c r="K18" s="8" t="s">
        <v>51</v>
      </c>
      <c r="L18" s="49" t="s">
        <v>130</v>
      </c>
      <c r="M18" s="8"/>
      <c r="N18" s="8"/>
      <c r="O18" s="8"/>
      <c r="P18" s="8"/>
      <c r="Q18" s="8" t="s">
        <v>55</v>
      </c>
      <c r="R18" s="8" t="s">
        <v>56</v>
      </c>
      <c r="S18" s="8" t="s">
        <v>47</v>
      </c>
      <c r="T18" s="8" t="s">
        <v>1102</v>
      </c>
      <c r="U18" s="8" t="s">
        <v>1102</v>
      </c>
      <c r="V18" s="8" t="s">
        <v>1102</v>
      </c>
      <c r="W18" s="8"/>
    </row>
    <row r="19" spans="1:23" x14ac:dyDescent="0.2">
      <c r="A19" s="8" t="s">
        <v>133</v>
      </c>
      <c r="B19" s="8" t="s">
        <v>47</v>
      </c>
      <c r="C19" s="8" t="s">
        <v>134</v>
      </c>
      <c r="D19" s="8" t="s">
        <v>49</v>
      </c>
      <c r="E19" s="8" t="s">
        <v>1103</v>
      </c>
      <c r="F19" s="8" t="s">
        <v>135</v>
      </c>
      <c r="G19" s="8" t="s">
        <v>73</v>
      </c>
      <c r="H19" s="8"/>
      <c r="I19" s="8"/>
      <c r="J19" s="8" t="s">
        <v>1104</v>
      </c>
      <c r="K19" s="8" t="s">
        <v>51</v>
      </c>
      <c r="L19" s="49" t="s">
        <v>136</v>
      </c>
      <c r="M19" s="8"/>
      <c r="N19" s="8"/>
      <c r="O19" s="8"/>
      <c r="P19" s="8"/>
      <c r="Q19" s="8" t="s">
        <v>55</v>
      </c>
      <c r="R19" s="8" t="s">
        <v>56</v>
      </c>
      <c r="S19" s="8" t="s">
        <v>72</v>
      </c>
      <c r="T19" s="8" t="s">
        <v>1102</v>
      </c>
      <c r="U19" s="8" t="s">
        <v>1102</v>
      </c>
      <c r="V19" s="8" t="s">
        <v>212</v>
      </c>
      <c r="W19" s="8" t="s">
        <v>1081</v>
      </c>
    </row>
    <row r="20" spans="1:23" x14ac:dyDescent="0.2">
      <c r="A20" s="8" t="s">
        <v>139</v>
      </c>
      <c r="B20" s="8" t="s">
        <v>47</v>
      </c>
      <c r="C20" s="8" t="s">
        <v>140</v>
      </c>
      <c r="D20" s="8" t="s">
        <v>49</v>
      </c>
      <c r="E20" s="8" t="s">
        <v>1105</v>
      </c>
      <c r="F20" s="8" t="s">
        <v>135</v>
      </c>
      <c r="G20" s="8" t="s">
        <v>73</v>
      </c>
      <c r="H20" s="8" t="s">
        <v>133</v>
      </c>
      <c r="I20" s="8"/>
      <c r="J20" s="8" t="s">
        <v>1106</v>
      </c>
      <c r="K20" s="8" t="s">
        <v>141</v>
      </c>
      <c r="L20" s="49" t="s">
        <v>142</v>
      </c>
      <c r="M20" s="8"/>
      <c r="N20" s="8"/>
      <c r="O20" s="8"/>
      <c r="P20" s="8"/>
      <c r="Q20" s="8" t="s">
        <v>55</v>
      </c>
      <c r="R20" s="8" t="s">
        <v>56</v>
      </c>
      <c r="S20" s="8" t="s">
        <v>72</v>
      </c>
      <c r="T20" s="8" t="s">
        <v>1107</v>
      </c>
      <c r="U20" s="8" t="s">
        <v>1107</v>
      </c>
      <c r="V20" s="8" t="s">
        <v>212</v>
      </c>
      <c r="W20" s="8" t="s">
        <v>1081</v>
      </c>
    </row>
    <row r="21" spans="1:23" x14ac:dyDescent="0.2">
      <c r="A21" s="8" t="s">
        <v>147</v>
      </c>
      <c r="B21" s="8" t="s">
        <v>47</v>
      </c>
      <c r="C21" s="8" t="s">
        <v>148</v>
      </c>
      <c r="D21" s="8" t="s">
        <v>49</v>
      </c>
      <c r="E21" s="8" t="s">
        <v>1108</v>
      </c>
      <c r="F21" s="8" t="s">
        <v>135</v>
      </c>
      <c r="G21" s="8" t="s">
        <v>73</v>
      </c>
      <c r="H21" s="8" t="s">
        <v>1109</v>
      </c>
      <c r="I21" s="8"/>
      <c r="J21" s="8" t="s">
        <v>1110</v>
      </c>
      <c r="K21" s="8" t="s">
        <v>149</v>
      </c>
      <c r="L21" s="49" t="s">
        <v>150</v>
      </c>
      <c r="M21" s="8"/>
      <c r="N21" s="8"/>
      <c r="O21" s="8"/>
      <c r="P21" s="8"/>
      <c r="Q21" s="8" t="s">
        <v>55</v>
      </c>
      <c r="R21" s="8" t="s">
        <v>56</v>
      </c>
      <c r="S21" s="8" t="s">
        <v>72</v>
      </c>
      <c r="T21" s="8" t="s">
        <v>1107</v>
      </c>
      <c r="U21" s="8" t="s">
        <v>1107</v>
      </c>
      <c r="V21" s="8" t="s">
        <v>212</v>
      </c>
      <c r="W21" s="8" t="s">
        <v>1081</v>
      </c>
    </row>
    <row r="22" spans="1:23" x14ac:dyDescent="0.2">
      <c r="A22" s="8" t="s">
        <v>155</v>
      </c>
      <c r="B22" s="8" t="s">
        <v>47</v>
      </c>
      <c r="C22" s="8" t="s">
        <v>156</v>
      </c>
      <c r="D22" s="8" t="s">
        <v>49</v>
      </c>
      <c r="E22" s="8" t="s">
        <v>1111</v>
      </c>
      <c r="F22" s="8" t="s">
        <v>135</v>
      </c>
      <c r="G22" s="8" t="s">
        <v>73</v>
      </c>
      <c r="H22" s="8" t="s">
        <v>1106</v>
      </c>
      <c r="I22" s="8"/>
      <c r="J22" s="8" t="s">
        <v>1112</v>
      </c>
      <c r="K22" s="8" t="s">
        <v>157</v>
      </c>
      <c r="L22" s="49" t="s">
        <v>158</v>
      </c>
      <c r="M22" s="8"/>
      <c r="N22" s="8"/>
      <c r="O22" s="8"/>
      <c r="P22" s="8"/>
      <c r="Q22" s="8" t="s">
        <v>55</v>
      </c>
      <c r="R22" s="8" t="s">
        <v>56</v>
      </c>
      <c r="S22" s="8" t="s">
        <v>72</v>
      </c>
      <c r="T22" s="8" t="s">
        <v>1107</v>
      </c>
      <c r="U22" s="8" t="s">
        <v>1107</v>
      </c>
      <c r="V22" s="8" t="s">
        <v>212</v>
      </c>
      <c r="W22" s="8" t="s">
        <v>1081</v>
      </c>
    </row>
    <row r="23" spans="1:23" x14ac:dyDescent="0.2">
      <c r="A23" s="8" t="s">
        <v>163</v>
      </c>
      <c r="B23" s="8" t="s">
        <v>47</v>
      </c>
      <c r="C23" s="8" t="s">
        <v>164</v>
      </c>
      <c r="D23" s="8" t="s">
        <v>49</v>
      </c>
      <c r="E23" s="8" t="s">
        <v>1113</v>
      </c>
      <c r="F23" s="8" t="s">
        <v>135</v>
      </c>
      <c r="G23" s="8" t="s">
        <v>73</v>
      </c>
      <c r="H23" s="8" t="s">
        <v>1110</v>
      </c>
      <c r="I23" s="8"/>
      <c r="J23" s="8" t="s">
        <v>1114</v>
      </c>
      <c r="K23" s="8" t="s">
        <v>165</v>
      </c>
      <c r="L23" s="49" t="s">
        <v>166</v>
      </c>
      <c r="M23" s="8"/>
      <c r="N23" s="8"/>
      <c r="O23" s="8"/>
      <c r="P23" s="8"/>
      <c r="Q23" s="8" t="s">
        <v>55</v>
      </c>
      <c r="R23" s="8" t="s">
        <v>56</v>
      </c>
      <c r="S23" s="8" t="s">
        <v>72</v>
      </c>
      <c r="T23" s="8" t="s">
        <v>1107</v>
      </c>
      <c r="U23" s="8" t="s">
        <v>1107</v>
      </c>
      <c r="V23" s="8" t="s">
        <v>212</v>
      </c>
      <c r="W23" s="8" t="s">
        <v>1081</v>
      </c>
    </row>
    <row r="24" spans="1:23" x14ac:dyDescent="0.2">
      <c r="A24" s="8" t="s">
        <v>171</v>
      </c>
      <c r="B24" s="8" t="s">
        <v>47</v>
      </c>
      <c r="C24" s="8" t="s">
        <v>172</v>
      </c>
      <c r="D24" s="8" t="s">
        <v>49</v>
      </c>
      <c r="E24" s="8" t="s">
        <v>1115</v>
      </c>
      <c r="F24" s="8" t="s">
        <v>135</v>
      </c>
      <c r="G24" s="8" t="s">
        <v>73</v>
      </c>
      <c r="H24" s="8" t="s">
        <v>1112</v>
      </c>
      <c r="I24" s="8"/>
      <c r="J24" s="8" t="s">
        <v>1116</v>
      </c>
      <c r="K24" s="8" t="s">
        <v>173</v>
      </c>
      <c r="L24" s="49" t="s">
        <v>174</v>
      </c>
      <c r="M24" s="8"/>
      <c r="N24" s="8"/>
      <c r="O24" s="8"/>
      <c r="P24" s="8"/>
      <c r="Q24" s="8" t="s">
        <v>55</v>
      </c>
      <c r="R24" s="8" t="s">
        <v>56</v>
      </c>
      <c r="S24" s="8" t="s">
        <v>72</v>
      </c>
      <c r="T24" s="8" t="s">
        <v>1107</v>
      </c>
      <c r="U24" s="8" t="s">
        <v>1107</v>
      </c>
      <c r="V24" s="8" t="s">
        <v>212</v>
      </c>
      <c r="W24" s="8" t="s">
        <v>1081</v>
      </c>
    </row>
    <row r="25" spans="1:23" x14ac:dyDescent="0.2">
      <c r="A25" s="8" t="s">
        <v>178</v>
      </c>
      <c r="B25" s="8" t="s">
        <v>47</v>
      </c>
      <c r="C25" s="8" t="s">
        <v>179</v>
      </c>
      <c r="D25" s="8" t="s">
        <v>49</v>
      </c>
      <c r="E25" s="8" t="s">
        <v>1117</v>
      </c>
      <c r="F25" s="8" t="s">
        <v>135</v>
      </c>
      <c r="G25" s="8" t="s">
        <v>73</v>
      </c>
      <c r="H25" s="8" t="s">
        <v>1114</v>
      </c>
      <c r="I25" s="8"/>
      <c r="J25" s="8"/>
      <c r="K25" s="8" t="s">
        <v>180</v>
      </c>
      <c r="L25" s="49" t="s">
        <v>181</v>
      </c>
      <c r="M25" s="8"/>
      <c r="N25" s="8"/>
      <c r="O25" s="8"/>
      <c r="P25" s="8"/>
      <c r="Q25" s="8" t="s">
        <v>55</v>
      </c>
      <c r="R25" s="8" t="s">
        <v>56</v>
      </c>
      <c r="S25" s="8" t="s">
        <v>72</v>
      </c>
      <c r="T25" s="8" t="s">
        <v>1107</v>
      </c>
      <c r="U25" s="8" t="s">
        <v>1107</v>
      </c>
      <c r="V25" s="8" t="s">
        <v>1107</v>
      </c>
      <c r="W25" s="8" t="s">
        <v>1081</v>
      </c>
    </row>
    <row r="26" spans="1:23" x14ac:dyDescent="0.2">
      <c r="A26" s="8" t="s">
        <v>185</v>
      </c>
      <c r="B26" s="8" t="s">
        <v>47</v>
      </c>
      <c r="C26" s="8" t="s">
        <v>186</v>
      </c>
      <c r="D26" s="8" t="s">
        <v>49</v>
      </c>
      <c r="E26" s="8" t="s">
        <v>1118</v>
      </c>
      <c r="F26" s="8" t="s">
        <v>187</v>
      </c>
      <c r="G26" s="8" t="s">
        <v>73</v>
      </c>
      <c r="H26" s="8" t="s">
        <v>1119</v>
      </c>
      <c r="I26" s="8"/>
      <c r="J26" s="8"/>
      <c r="K26" s="8" t="s">
        <v>188</v>
      </c>
      <c r="L26" s="49" t="s">
        <v>130</v>
      </c>
      <c r="M26" s="8"/>
      <c r="N26" s="8"/>
      <c r="O26" s="8"/>
      <c r="P26" s="8"/>
      <c r="Q26" s="8" t="s">
        <v>55</v>
      </c>
      <c r="R26" s="8" t="s">
        <v>56</v>
      </c>
      <c r="S26" s="8" t="s">
        <v>72</v>
      </c>
      <c r="T26" s="8" t="s">
        <v>1102</v>
      </c>
      <c r="U26" s="8" t="s">
        <v>1102</v>
      </c>
      <c r="V26" s="8" t="s">
        <v>1102</v>
      </c>
      <c r="W26" s="8" t="s">
        <v>1081</v>
      </c>
    </row>
    <row r="27" spans="1:23" x14ac:dyDescent="0.2">
      <c r="A27" s="8" t="s">
        <v>190</v>
      </c>
      <c r="B27" s="8" t="s">
        <v>47</v>
      </c>
      <c r="C27" s="8" t="s">
        <v>191</v>
      </c>
      <c r="D27" s="8" t="s">
        <v>49</v>
      </c>
      <c r="E27" s="8" t="s">
        <v>1120</v>
      </c>
      <c r="F27" s="8" t="s">
        <v>187</v>
      </c>
      <c r="G27" s="8" t="s">
        <v>73</v>
      </c>
      <c r="H27" s="8" t="s">
        <v>1119</v>
      </c>
      <c r="I27" s="8"/>
      <c r="J27" s="8"/>
      <c r="K27" s="8" t="s">
        <v>188</v>
      </c>
      <c r="L27" s="49" t="s">
        <v>130</v>
      </c>
      <c r="M27" s="8"/>
      <c r="N27" s="8"/>
      <c r="O27" s="8"/>
      <c r="P27" s="8"/>
      <c r="Q27" s="8" t="s">
        <v>55</v>
      </c>
      <c r="R27" s="8" t="s">
        <v>56</v>
      </c>
      <c r="S27" s="8" t="s">
        <v>72</v>
      </c>
      <c r="T27" s="8" t="s">
        <v>1102</v>
      </c>
      <c r="U27" s="8" t="s">
        <v>1102</v>
      </c>
      <c r="V27" s="8" t="s">
        <v>1102</v>
      </c>
      <c r="W27" s="8" t="s">
        <v>1081</v>
      </c>
    </row>
    <row r="28" spans="1:23" x14ac:dyDescent="0.2">
      <c r="A28" s="8" t="s">
        <v>192</v>
      </c>
      <c r="B28" s="8" t="s">
        <v>47</v>
      </c>
      <c r="C28" s="8" t="s">
        <v>193</v>
      </c>
      <c r="D28" s="8" t="s">
        <v>49</v>
      </c>
      <c r="E28" s="8" t="s">
        <v>1121</v>
      </c>
      <c r="F28" s="8" t="s">
        <v>194</v>
      </c>
      <c r="G28" s="8" t="s">
        <v>1</v>
      </c>
      <c r="H28" s="8"/>
      <c r="I28" s="8"/>
      <c r="J28" s="8"/>
      <c r="K28" s="8" t="s">
        <v>51</v>
      </c>
      <c r="L28" s="49" t="s">
        <v>195</v>
      </c>
      <c r="M28" s="8"/>
      <c r="N28" s="8"/>
      <c r="O28" s="8"/>
      <c r="P28" s="8"/>
      <c r="Q28" s="8" t="s">
        <v>55</v>
      </c>
      <c r="R28" s="8" t="s">
        <v>56</v>
      </c>
      <c r="S28" s="8" t="s">
        <v>47</v>
      </c>
      <c r="T28" s="8" t="s">
        <v>566</v>
      </c>
      <c r="U28" s="8" t="s">
        <v>566</v>
      </c>
      <c r="V28" s="8" t="s">
        <v>566</v>
      </c>
      <c r="W28" s="8"/>
    </row>
    <row r="29" spans="1:23" x14ac:dyDescent="0.2">
      <c r="A29" s="8" t="s">
        <v>198</v>
      </c>
      <c r="B29" s="8" t="s">
        <v>47</v>
      </c>
      <c r="C29" s="8" t="s">
        <v>199</v>
      </c>
      <c r="D29" s="8" t="s">
        <v>49</v>
      </c>
      <c r="E29" s="8" t="s">
        <v>1085</v>
      </c>
      <c r="F29" s="8" t="s">
        <v>194</v>
      </c>
      <c r="G29" s="8" t="s">
        <v>73</v>
      </c>
      <c r="H29" s="8"/>
      <c r="I29" s="8"/>
      <c r="J29" s="8"/>
      <c r="K29" s="8" t="s">
        <v>51</v>
      </c>
      <c r="L29" s="49" t="s">
        <v>195</v>
      </c>
      <c r="M29" s="8"/>
      <c r="N29" s="8"/>
      <c r="O29" s="8"/>
      <c r="P29" s="8"/>
      <c r="Q29" s="8" t="s">
        <v>55</v>
      </c>
      <c r="R29" s="8" t="s">
        <v>56</v>
      </c>
      <c r="S29" s="8" t="s">
        <v>72</v>
      </c>
      <c r="T29" s="8" t="s">
        <v>566</v>
      </c>
      <c r="U29" s="8" t="s">
        <v>566</v>
      </c>
      <c r="V29" s="8" t="s">
        <v>566</v>
      </c>
      <c r="W29" s="8" t="s">
        <v>1081</v>
      </c>
    </row>
    <row r="30" spans="1:23" x14ac:dyDescent="0.2">
      <c r="A30" s="8" t="s">
        <v>200</v>
      </c>
      <c r="B30" s="8" t="s">
        <v>47</v>
      </c>
      <c r="C30" s="8" t="s">
        <v>201</v>
      </c>
      <c r="D30" s="8" t="s">
        <v>49</v>
      </c>
      <c r="E30" s="8" t="s">
        <v>1087</v>
      </c>
      <c r="F30" s="8" t="s">
        <v>194</v>
      </c>
      <c r="G30" s="8" t="s">
        <v>73</v>
      </c>
      <c r="H30" s="8"/>
      <c r="I30" s="8"/>
      <c r="J30" s="8"/>
      <c r="K30" s="8" t="s">
        <v>51</v>
      </c>
      <c r="L30" s="49" t="s">
        <v>195</v>
      </c>
      <c r="M30" s="8"/>
      <c r="N30" s="8"/>
      <c r="O30" s="8"/>
      <c r="P30" s="8"/>
      <c r="Q30" s="8" t="s">
        <v>55</v>
      </c>
      <c r="R30" s="8" t="s">
        <v>56</v>
      </c>
      <c r="S30" s="8" t="s">
        <v>72</v>
      </c>
      <c r="T30" s="8" t="s">
        <v>566</v>
      </c>
      <c r="U30" s="8" t="s">
        <v>566</v>
      </c>
      <c r="V30" s="8" t="s">
        <v>566</v>
      </c>
      <c r="W30" s="8" t="s">
        <v>1081</v>
      </c>
    </row>
    <row r="31" spans="1:23" x14ac:dyDescent="0.2">
      <c r="A31" s="8" t="s">
        <v>202</v>
      </c>
      <c r="B31" s="8" t="s">
        <v>47</v>
      </c>
      <c r="C31" s="8" t="s">
        <v>203</v>
      </c>
      <c r="D31" s="8" t="s">
        <v>49</v>
      </c>
      <c r="E31" s="8" t="s">
        <v>1090</v>
      </c>
      <c r="F31" s="8" t="s">
        <v>194</v>
      </c>
      <c r="G31" s="8" t="s">
        <v>73</v>
      </c>
      <c r="H31" s="8"/>
      <c r="I31" s="8"/>
      <c r="J31" s="8"/>
      <c r="K31" s="8" t="s">
        <v>51</v>
      </c>
      <c r="L31" s="49" t="s">
        <v>195</v>
      </c>
      <c r="M31" s="8"/>
      <c r="N31" s="8"/>
      <c r="O31" s="8"/>
      <c r="P31" s="8"/>
      <c r="Q31" s="8" t="s">
        <v>55</v>
      </c>
      <c r="R31" s="8" t="s">
        <v>56</v>
      </c>
      <c r="S31" s="8" t="s">
        <v>72</v>
      </c>
      <c r="T31" s="8" t="s">
        <v>566</v>
      </c>
      <c r="U31" s="8" t="s">
        <v>566</v>
      </c>
      <c r="V31" s="8" t="s">
        <v>566</v>
      </c>
      <c r="W31" s="8" t="s">
        <v>1081</v>
      </c>
    </row>
    <row r="32" spans="1:23" x14ac:dyDescent="0.2">
      <c r="A32" s="8" t="s">
        <v>204</v>
      </c>
      <c r="B32" s="8" t="s">
        <v>47</v>
      </c>
      <c r="C32" s="8" t="s">
        <v>205</v>
      </c>
      <c r="D32" s="8" t="s">
        <v>49</v>
      </c>
      <c r="E32" s="8" t="s">
        <v>1092</v>
      </c>
      <c r="F32" s="8" t="s">
        <v>194</v>
      </c>
      <c r="G32" s="8" t="s">
        <v>73</v>
      </c>
      <c r="H32" s="8"/>
      <c r="I32" s="8"/>
      <c r="J32" s="8"/>
      <c r="K32" s="8" t="s">
        <v>51</v>
      </c>
      <c r="L32" s="49" t="s">
        <v>195</v>
      </c>
      <c r="M32" s="8"/>
      <c r="N32" s="8"/>
      <c r="O32" s="8"/>
      <c r="P32" s="8"/>
      <c r="Q32" s="8" t="s">
        <v>55</v>
      </c>
      <c r="R32" s="8" t="s">
        <v>56</v>
      </c>
      <c r="S32" s="8" t="s">
        <v>72</v>
      </c>
      <c r="T32" s="8" t="s">
        <v>566</v>
      </c>
      <c r="U32" s="8" t="s">
        <v>566</v>
      </c>
      <c r="V32" s="8" t="s">
        <v>566</v>
      </c>
      <c r="W32" s="8" t="s">
        <v>1081</v>
      </c>
    </row>
    <row r="33" spans="1:23" x14ac:dyDescent="0.2">
      <c r="A33" s="8" t="s">
        <v>206</v>
      </c>
      <c r="B33" s="8" t="s">
        <v>47</v>
      </c>
      <c r="C33" s="8" t="s">
        <v>207</v>
      </c>
      <c r="D33" s="8" t="s">
        <v>49</v>
      </c>
      <c r="E33" s="8" t="s">
        <v>1122</v>
      </c>
      <c r="F33" s="8" t="s">
        <v>194</v>
      </c>
      <c r="G33" s="8" t="s">
        <v>73</v>
      </c>
      <c r="H33" s="8"/>
      <c r="I33" s="8"/>
      <c r="J33" s="8"/>
      <c r="K33" s="8" t="s">
        <v>51</v>
      </c>
      <c r="L33" s="49" t="s">
        <v>195</v>
      </c>
      <c r="M33" s="8"/>
      <c r="N33" s="8"/>
      <c r="O33" s="8"/>
      <c r="P33" s="8"/>
      <c r="Q33" s="8" t="s">
        <v>55</v>
      </c>
      <c r="R33" s="8" t="s">
        <v>56</v>
      </c>
      <c r="S33" s="8" t="s">
        <v>72</v>
      </c>
      <c r="T33" s="8" t="s">
        <v>566</v>
      </c>
      <c r="U33" s="8" t="s">
        <v>566</v>
      </c>
      <c r="V33" s="8" t="s">
        <v>566</v>
      </c>
      <c r="W33" s="8" t="s">
        <v>1081</v>
      </c>
    </row>
    <row r="34" spans="1:23" x14ac:dyDescent="0.2">
      <c r="A34" s="8" t="s">
        <v>208</v>
      </c>
      <c r="B34" s="8" t="s">
        <v>47</v>
      </c>
      <c r="C34" s="8" t="s">
        <v>209</v>
      </c>
      <c r="D34" s="8" t="s">
        <v>49</v>
      </c>
      <c r="E34" s="8" t="s">
        <v>1123</v>
      </c>
      <c r="F34" s="8" t="s">
        <v>194</v>
      </c>
      <c r="G34" s="8" t="s">
        <v>73</v>
      </c>
      <c r="H34" s="8"/>
      <c r="I34" s="8"/>
      <c r="J34" s="8"/>
      <c r="K34" s="8" t="s">
        <v>51</v>
      </c>
      <c r="L34" s="49" t="s">
        <v>195</v>
      </c>
      <c r="M34" s="8"/>
      <c r="N34" s="8"/>
      <c r="O34" s="8"/>
      <c r="P34" s="8"/>
      <c r="Q34" s="8" t="s">
        <v>55</v>
      </c>
      <c r="R34" s="8" t="s">
        <v>56</v>
      </c>
      <c r="S34" s="8" t="s">
        <v>72</v>
      </c>
      <c r="T34" s="8" t="s">
        <v>566</v>
      </c>
      <c r="U34" s="8" t="s">
        <v>566</v>
      </c>
      <c r="V34" s="8" t="s">
        <v>566</v>
      </c>
      <c r="W34" s="8" t="s">
        <v>1081</v>
      </c>
    </row>
    <row r="35" spans="1:23" x14ac:dyDescent="0.2">
      <c r="A35" s="8" t="s">
        <v>210</v>
      </c>
      <c r="B35" s="8" t="s">
        <v>47</v>
      </c>
      <c r="C35" s="8" t="s">
        <v>211</v>
      </c>
      <c r="D35" s="8" t="s">
        <v>49</v>
      </c>
      <c r="E35" s="8" t="s">
        <v>1124</v>
      </c>
      <c r="F35" s="8" t="s">
        <v>212</v>
      </c>
      <c r="G35" s="8" t="s">
        <v>1</v>
      </c>
      <c r="H35" s="8"/>
      <c r="I35" s="8"/>
      <c r="J35" s="8"/>
      <c r="K35" s="8" t="s">
        <v>51</v>
      </c>
      <c r="L35" s="49" t="s">
        <v>51</v>
      </c>
      <c r="M35" s="8"/>
      <c r="N35" s="8"/>
      <c r="O35" s="8"/>
      <c r="P35" s="8"/>
      <c r="Q35" s="8" t="s">
        <v>55</v>
      </c>
      <c r="R35" s="8" t="s">
        <v>56</v>
      </c>
      <c r="S35" s="8" t="s">
        <v>72</v>
      </c>
      <c r="T35" s="8" t="s">
        <v>50</v>
      </c>
      <c r="U35" s="8" t="s">
        <v>50</v>
      </c>
      <c r="V35" s="8" t="s">
        <v>50</v>
      </c>
      <c r="W35" s="8" t="s">
        <v>1081</v>
      </c>
    </row>
    <row r="36" spans="1:23" x14ac:dyDescent="0.2">
      <c r="A36" s="8" t="s">
        <v>213</v>
      </c>
      <c r="B36" s="8" t="s">
        <v>47</v>
      </c>
      <c r="C36" s="8" t="s">
        <v>214</v>
      </c>
      <c r="D36" s="8" t="s">
        <v>49</v>
      </c>
      <c r="E36" s="8" t="s">
        <v>1125</v>
      </c>
      <c r="F36" s="8" t="s">
        <v>216</v>
      </c>
      <c r="G36" s="8" t="s">
        <v>57</v>
      </c>
      <c r="H36" s="8"/>
      <c r="I36" s="8"/>
      <c r="J36" s="8"/>
      <c r="K36" s="8" t="s">
        <v>51</v>
      </c>
      <c r="L36" s="49" t="s">
        <v>217</v>
      </c>
      <c r="M36" s="8"/>
      <c r="N36" s="8"/>
      <c r="O36" s="8"/>
      <c r="P36" s="8"/>
      <c r="Q36" s="8" t="s">
        <v>55</v>
      </c>
      <c r="R36" s="8" t="s">
        <v>56</v>
      </c>
      <c r="S36" s="8" t="s">
        <v>47</v>
      </c>
      <c r="T36" s="8" t="s">
        <v>212</v>
      </c>
      <c r="U36" s="8" t="s">
        <v>1126</v>
      </c>
      <c r="V36" s="8" t="s">
        <v>212</v>
      </c>
      <c r="W36" s="8"/>
    </row>
    <row r="37" spans="1:23" x14ac:dyDescent="0.2">
      <c r="A37" s="8" t="s">
        <v>219</v>
      </c>
      <c r="B37" s="8" t="s">
        <v>47</v>
      </c>
      <c r="C37" s="8" t="s">
        <v>220</v>
      </c>
      <c r="D37" s="8" t="s">
        <v>49</v>
      </c>
      <c r="E37" s="8" t="s">
        <v>1127</v>
      </c>
      <c r="F37" s="8" t="s">
        <v>194</v>
      </c>
      <c r="G37" s="8" t="s">
        <v>1</v>
      </c>
      <c r="H37" s="8"/>
      <c r="I37" s="8"/>
      <c r="J37" s="8" t="s">
        <v>1128</v>
      </c>
      <c r="K37" s="8" t="s">
        <v>51</v>
      </c>
      <c r="L37" s="49" t="s">
        <v>195</v>
      </c>
      <c r="M37" s="8"/>
      <c r="N37" s="8"/>
      <c r="O37" s="8"/>
      <c r="P37" s="8"/>
      <c r="Q37" s="8" t="s">
        <v>55</v>
      </c>
      <c r="R37" s="8" t="s">
        <v>56</v>
      </c>
      <c r="S37" s="8" t="s">
        <v>72</v>
      </c>
      <c r="T37" s="8" t="s">
        <v>212</v>
      </c>
      <c r="U37" s="8" t="s">
        <v>212</v>
      </c>
      <c r="V37" s="8" t="s">
        <v>212</v>
      </c>
      <c r="W37" s="8" t="s">
        <v>1129</v>
      </c>
    </row>
    <row r="38" spans="1:23" x14ac:dyDescent="0.2">
      <c r="A38" s="8" t="s">
        <v>222</v>
      </c>
      <c r="B38" s="8" t="s">
        <v>47</v>
      </c>
      <c r="C38" s="8" t="s">
        <v>223</v>
      </c>
      <c r="D38" s="8" t="s">
        <v>49</v>
      </c>
      <c r="E38" s="8" t="s">
        <v>1130</v>
      </c>
      <c r="F38" s="8" t="s">
        <v>225</v>
      </c>
      <c r="G38" s="8" t="s">
        <v>1</v>
      </c>
      <c r="H38" s="8"/>
      <c r="I38" s="8"/>
      <c r="J38" s="8"/>
      <c r="K38" s="8" t="s">
        <v>226</v>
      </c>
      <c r="L38" s="49" t="s">
        <v>217</v>
      </c>
      <c r="M38" s="8"/>
      <c r="N38" s="8"/>
      <c r="O38" s="8"/>
      <c r="P38" s="8"/>
      <c r="Q38" s="8" t="s">
        <v>55</v>
      </c>
      <c r="R38" s="8" t="s">
        <v>56</v>
      </c>
      <c r="S38" s="8" t="s">
        <v>47</v>
      </c>
      <c r="T38" s="8" t="s">
        <v>1131</v>
      </c>
      <c r="U38" s="8" t="s">
        <v>1126</v>
      </c>
      <c r="V38" s="8" t="s">
        <v>1126</v>
      </c>
      <c r="W38" s="8"/>
    </row>
    <row r="39" spans="1:23" x14ac:dyDescent="0.2">
      <c r="A39" s="8" t="s">
        <v>229</v>
      </c>
      <c r="B39" s="8" t="s">
        <v>47</v>
      </c>
      <c r="C39" s="8" t="s">
        <v>230</v>
      </c>
      <c r="D39" s="8" t="s">
        <v>49</v>
      </c>
      <c r="E39" s="8" t="s">
        <v>1132</v>
      </c>
      <c r="F39" s="8" t="s">
        <v>194</v>
      </c>
      <c r="G39" s="8" t="s">
        <v>73</v>
      </c>
      <c r="H39" s="8" t="s">
        <v>232</v>
      </c>
      <c r="I39" s="8"/>
      <c r="J39" s="8"/>
      <c r="K39" s="8" t="s">
        <v>233</v>
      </c>
      <c r="L39" s="49" t="s">
        <v>234</v>
      </c>
      <c r="M39" s="8"/>
      <c r="N39" s="8"/>
      <c r="O39" s="8"/>
      <c r="P39" s="8"/>
      <c r="Q39" s="8" t="s">
        <v>55</v>
      </c>
      <c r="R39" s="8" t="s">
        <v>56</v>
      </c>
      <c r="S39" s="8" t="s">
        <v>72</v>
      </c>
      <c r="T39" s="8" t="s">
        <v>1133</v>
      </c>
      <c r="U39" s="8" t="s">
        <v>1133</v>
      </c>
      <c r="V39" s="8" t="s">
        <v>1133</v>
      </c>
      <c r="W39" s="8" t="s">
        <v>1134</v>
      </c>
    </row>
    <row r="40" spans="1:23" x14ac:dyDescent="0.2">
      <c r="A40" s="8" t="s">
        <v>237</v>
      </c>
      <c r="B40" s="8" t="s">
        <v>47</v>
      </c>
      <c r="C40" s="8" t="s">
        <v>238</v>
      </c>
      <c r="D40" s="8" t="s">
        <v>49</v>
      </c>
      <c r="E40" s="8" t="s">
        <v>1135</v>
      </c>
      <c r="F40" s="8" t="s">
        <v>240</v>
      </c>
      <c r="G40" s="8" t="s">
        <v>73</v>
      </c>
      <c r="H40" s="8" t="s">
        <v>1136</v>
      </c>
      <c r="I40" s="8"/>
      <c r="J40" s="8" t="s">
        <v>241</v>
      </c>
      <c r="K40" s="8" t="s">
        <v>226</v>
      </c>
      <c r="L40" s="49" t="s">
        <v>242</v>
      </c>
      <c r="M40" s="8"/>
      <c r="N40" s="8"/>
      <c r="O40" s="8"/>
      <c r="P40" s="8"/>
      <c r="Q40" s="8" t="s">
        <v>55</v>
      </c>
      <c r="R40" s="8" t="s">
        <v>56</v>
      </c>
      <c r="S40" s="8" t="s">
        <v>72</v>
      </c>
      <c r="T40" s="8" t="s">
        <v>1133</v>
      </c>
      <c r="U40" s="8" t="s">
        <v>1133</v>
      </c>
      <c r="V40" s="8" t="s">
        <v>212</v>
      </c>
      <c r="W40" s="8" t="s">
        <v>1129</v>
      </c>
    </row>
    <row r="41" spans="1:23" x14ac:dyDescent="0.2">
      <c r="A41" s="8" t="s">
        <v>246</v>
      </c>
      <c r="B41" s="8" t="s">
        <v>47</v>
      </c>
      <c r="C41" s="8" t="s">
        <v>247</v>
      </c>
      <c r="D41" s="8" t="s">
        <v>49</v>
      </c>
      <c r="E41" s="8" t="s">
        <v>1137</v>
      </c>
      <c r="F41" s="8" t="s">
        <v>194</v>
      </c>
      <c r="G41" s="8" t="s">
        <v>73</v>
      </c>
      <c r="H41" s="8" t="s">
        <v>1136</v>
      </c>
      <c r="I41" s="8"/>
      <c r="J41" s="8" t="s">
        <v>249</v>
      </c>
      <c r="K41" s="8" t="s">
        <v>226</v>
      </c>
      <c r="L41" s="49" t="s">
        <v>181</v>
      </c>
      <c r="M41" s="8"/>
      <c r="N41" s="8"/>
      <c r="O41" s="8"/>
      <c r="P41" s="8"/>
      <c r="Q41" s="8" t="s">
        <v>55</v>
      </c>
      <c r="R41" s="8" t="s">
        <v>56</v>
      </c>
      <c r="S41" s="8" t="s">
        <v>72</v>
      </c>
      <c r="T41" s="8" t="s">
        <v>1133</v>
      </c>
      <c r="U41" s="8" t="s">
        <v>1133</v>
      </c>
      <c r="V41" s="8" t="s">
        <v>212</v>
      </c>
      <c r="W41" s="8" t="s">
        <v>1129</v>
      </c>
    </row>
    <row r="42" spans="1:23" x14ac:dyDescent="0.2">
      <c r="A42" s="8" t="s">
        <v>251</v>
      </c>
      <c r="B42" s="8" t="s">
        <v>47</v>
      </c>
      <c r="C42" s="8" t="s">
        <v>252</v>
      </c>
      <c r="D42" s="8" t="s">
        <v>49</v>
      </c>
      <c r="E42" s="8" t="s">
        <v>1138</v>
      </c>
      <c r="F42" s="8" t="s">
        <v>194</v>
      </c>
      <c r="G42" s="8" t="s">
        <v>73</v>
      </c>
      <c r="H42" s="8" t="s">
        <v>246</v>
      </c>
      <c r="I42" s="8"/>
      <c r="J42" s="8" t="s">
        <v>241</v>
      </c>
      <c r="K42" s="8" t="s">
        <v>254</v>
      </c>
      <c r="L42" s="49" t="s">
        <v>242</v>
      </c>
      <c r="M42" s="8"/>
      <c r="N42" s="8"/>
      <c r="O42" s="8"/>
      <c r="P42" s="8"/>
      <c r="Q42" s="8" t="s">
        <v>55</v>
      </c>
      <c r="R42" s="8" t="s">
        <v>56</v>
      </c>
      <c r="S42" s="8" t="s">
        <v>72</v>
      </c>
      <c r="T42" s="8" t="s">
        <v>1133</v>
      </c>
      <c r="U42" s="8" t="s">
        <v>1133</v>
      </c>
      <c r="V42" s="8" t="s">
        <v>212</v>
      </c>
      <c r="W42" s="8" t="s">
        <v>1134</v>
      </c>
    </row>
    <row r="43" spans="1:23" x14ac:dyDescent="0.2">
      <c r="A43" s="8" t="s">
        <v>256</v>
      </c>
      <c r="B43" s="8" t="s">
        <v>47</v>
      </c>
      <c r="C43" s="8" t="s">
        <v>257</v>
      </c>
      <c r="D43" s="8" t="s">
        <v>49</v>
      </c>
      <c r="E43" s="8" t="s">
        <v>1139</v>
      </c>
      <c r="F43" s="8" t="s">
        <v>194</v>
      </c>
      <c r="G43" s="8" t="s">
        <v>73</v>
      </c>
      <c r="H43" s="8" t="s">
        <v>246</v>
      </c>
      <c r="I43" s="8"/>
      <c r="J43" s="8" t="s">
        <v>241</v>
      </c>
      <c r="K43" s="8" t="s">
        <v>254</v>
      </c>
      <c r="L43" s="49" t="s">
        <v>242</v>
      </c>
      <c r="M43" s="8"/>
      <c r="N43" s="8"/>
      <c r="O43" s="8"/>
      <c r="P43" s="8"/>
      <c r="Q43" s="8" t="s">
        <v>55</v>
      </c>
      <c r="R43" s="8" t="s">
        <v>56</v>
      </c>
      <c r="S43" s="8" t="s">
        <v>72</v>
      </c>
      <c r="T43" s="8" t="s">
        <v>1133</v>
      </c>
      <c r="U43" s="8" t="s">
        <v>1133</v>
      </c>
      <c r="V43" s="8" t="s">
        <v>212</v>
      </c>
      <c r="W43" s="8" t="s">
        <v>1129</v>
      </c>
    </row>
    <row r="44" spans="1:23" x14ac:dyDescent="0.2">
      <c r="A44" s="8" t="s">
        <v>259</v>
      </c>
      <c r="B44" s="8" t="s">
        <v>47</v>
      </c>
      <c r="C44" s="8" t="s">
        <v>260</v>
      </c>
      <c r="D44" s="8" t="s">
        <v>49</v>
      </c>
      <c r="E44" s="8" t="s">
        <v>1140</v>
      </c>
      <c r="F44" s="8" t="s">
        <v>194</v>
      </c>
      <c r="G44" s="8" t="s">
        <v>73</v>
      </c>
      <c r="H44" s="8" t="s">
        <v>232</v>
      </c>
      <c r="I44" s="8"/>
      <c r="J44" s="8"/>
      <c r="K44" s="8" t="s">
        <v>233</v>
      </c>
      <c r="L44" s="49" t="s">
        <v>234</v>
      </c>
      <c r="M44" s="8"/>
      <c r="N44" s="8"/>
      <c r="O44" s="8"/>
      <c r="P44" s="8"/>
      <c r="Q44" s="8" t="s">
        <v>55</v>
      </c>
      <c r="R44" s="8" t="s">
        <v>56</v>
      </c>
      <c r="S44" s="8" t="s">
        <v>72</v>
      </c>
      <c r="T44" s="8" t="s">
        <v>1133</v>
      </c>
      <c r="U44" s="8" t="s">
        <v>1133</v>
      </c>
      <c r="V44" s="8" t="s">
        <v>1133</v>
      </c>
      <c r="W44" s="8" t="s">
        <v>1129</v>
      </c>
    </row>
    <row r="45" spans="1:23" x14ac:dyDescent="0.2">
      <c r="A45" s="8" t="s">
        <v>262</v>
      </c>
      <c r="B45" s="8" t="s">
        <v>47</v>
      </c>
      <c r="C45" s="8" t="s">
        <v>263</v>
      </c>
      <c r="D45" s="8" t="s">
        <v>49</v>
      </c>
      <c r="E45" s="8" t="s">
        <v>1141</v>
      </c>
      <c r="F45" s="8" t="s">
        <v>265</v>
      </c>
      <c r="G45" s="8" t="s">
        <v>73</v>
      </c>
      <c r="H45" s="8"/>
      <c r="I45" s="8"/>
      <c r="J45" s="8"/>
      <c r="K45" s="8" t="s">
        <v>266</v>
      </c>
      <c r="L45" s="49" t="s">
        <v>217</v>
      </c>
      <c r="M45" s="8"/>
      <c r="N45" s="8"/>
      <c r="O45" s="8"/>
      <c r="P45" s="8"/>
      <c r="Q45" s="8" t="s">
        <v>55</v>
      </c>
      <c r="R45" s="8" t="s">
        <v>56</v>
      </c>
      <c r="S45" s="8" t="s">
        <v>47</v>
      </c>
      <c r="T45" s="8" t="s">
        <v>1126</v>
      </c>
      <c r="U45" s="8" t="s">
        <v>1126</v>
      </c>
      <c r="V45" s="8" t="s">
        <v>1126</v>
      </c>
      <c r="W45" s="8"/>
    </row>
    <row r="46" spans="1:23" x14ac:dyDescent="0.2">
      <c r="A46" s="8" t="s">
        <v>268</v>
      </c>
      <c r="B46" s="8" t="s">
        <v>47</v>
      </c>
      <c r="C46" s="8" t="s">
        <v>269</v>
      </c>
      <c r="D46" s="8" t="s">
        <v>49</v>
      </c>
      <c r="E46" s="8" t="s">
        <v>1142</v>
      </c>
      <c r="F46" s="8" t="s">
        <v>83</v>
      </c>
      <c r="G46" s="8" t="s">
        <v>80</v>
      </c>
      <c r="H46" s="8" t="s">
        <v>1143</v>
      </c>
      <c r="I46" s="8"/>
      <c r="J46" s="8" t="s">
        <v>1144</v>
      </c>
      <c r="K46" s="8" t="s">
        <v>270</v>
      </c>
      <c r="L46" s="49" t="s">
        <v>271</v>
      </c>
      <c r="M46" s="8"/>
      <c r="N46" s="8"/>
      <c r="O46" s="8"/>
      <c r="P46" s="8"/>
      <c r="Q46" s="8" t="s">
        <v>55</v>
      </c>
      <c r="R46" s="8" t="s">
        <v>56</v>
      </c>
      <c r="S46" s="8" t="s">
        <v>72</v>
      </c>
      <c r="T46" s="8" t="s">
        <v>1126</v>
      </c>
      <c r="U46" s="8" t="s">
        <v>1126</v>
      </c>
      <c r="V46" s="8" t="s">
        <v>212</v>
      </c>
      <c r="W46" s="8" t="s">
        <v>1145</v>
      </c>
    </row>
    <row r="47" spans="1:23" x14ac:dyDescent="0.2">
      <c r="A47" s="8" t="s">
        <v>276</v>
      </c>
      <c r="B47" s="8" t="s">
        <v>47</v>
      </c>
      <c r="C47" s="8" t="s">
        <v>277</v>
      </c>
      <c r="D47" s="8" t="s">
        <v>49</v>
      </c>
      <c r="E47" s="8" t="s">
        <v>1146</v>
      </c>
      <c r="F47" s="8" t="s">
        <v>83</v>
      </c>
      <c r="G47" s="8" t="s">
        <v>80</v>
      </c>
      <c r="H47" s="8" t="s">
        <v>278</v>
      </c>
      <c r="I47" s="8"/>
      <c r="J47" s="8" t="s">
        <v>1147</v>
      </c>
      <c r="K47" s="8" t="s">
        <v>266</v>
      </c>
      <c r="L47" s="49" t="s">
        <v>279</v>
      </c>
      <c r="M47" s="8"/>
      <c r="N47" s="8"/>
      <c r="O47" s="8"/>
      <c r="P47" s="8"/>
      <c r="Q47" s="8" t="s">
        <v>55</v>
      </c>
      <c r="R47" s="8" t="s">
        <v>56</v>
      </c>
      <c r="S47" s="8" t="s">
        <v>72</v>
      </c>
      <c r="T47" s="8" t="s">
        <v>1126</v>
      </c>
      <c r="U47" s="8" t="s">
        <v>1126</v>
      </c>
      <c r="V47" s="8" t="s">
        <v>212</v>
      </c>
      <c r="W47" s="8" t="s">
        <v>1145</v>
      </c>
    </row>
    <row r="48" spans="1:23" x14ac:dyDescent="0.2">
      <c r="A48" s="8" t="s">
        <v>282</v>
      </c>
      <c r="B48" s="8" t="s">
        <v>47</v>
      </c>
      <c r="C48" s="8" t="s">
        <v>283</v>
      </c>
      <c r="D48" s="8" t="s">
        <v>49</v>
      </c>
      <c r="E48" s="8" t="s">
        <v>1148</v>
      </c>
      <c r="F48" s="8" t="s">
        <v>83</v>
      </c>
      <c r="G48" s="8" t="s">
        <v>80</v>
      </c>
      <c r="H48" s="8" t="s">
        <v>1147</v>
      </c>
      <c r="I48" s="8"/>
      <c r="J48" s="8"/>
      <c r="K48" s="8" t="s">
        <v>284</v>
      </c>
      <c r="L48" s="49" t="s">
        <v>217</v>
      </c>
      <c r="M48" s="8"/>
      <c r="N48" s="8"/>
      <c r="O48" s="8"/>
      <c r="P48" s="8"/>
      <c r="Q48" s="8" t="s">
        <v>55</v>
      </c>
      <c r="R48" s="8" t="s">
        <v>56</v>
      </c>
      <c r="S48" s="8" t="s">
        <v>72</v>
      </c>
      <c r="T48" s="8" t="s">
        <v>1126</v>
      </c>
      <c r="U48" s="8" t="s">
        <v>1126</v>
      </c>
      <c r="V48" s="8" t="s">
        <v>1126</v>
      </c>
      <c r="W48" s="8" t="s">
        <v>1145</v>
      </c>
    </row>
    <row r="49" spans="1:23" x14ac:dyDescent="0.2">
      <c r="A49" s="8" t="s">
        <v>286</v>
      </c>
      <c r="B49" s="8" t="s">
        <v>47</v>
      </c>
      <c r="C49" s="8" t="s">
        <v>287</v>
      </c>
      <c r="D49" s="8" t="s">
        <v>49</v>
      </c>
      <c r="E49" s="8" t="s">
        <v>1149</v>
      </c>
      <c r="F49" s="8" t="s">
        <v>289</v>
      </c>
      <c r="G49" s="8" t="s">
        <v>1</v>
      </c>
      <c r="H49" s="8"/>
      <c r="I49" s="8"/>
      <c r="J49" s="8"/>
      <c r="K49" s="8" t="s">
        <v>290</v>
      </c>
      <c r="L49" s="49" t="s">
        <v>291</v>
      </c>
      <c r="M49" s="8"/>
      <c r="N49" s="8"/>
      <c r="O49" s="8"/>
      <c r="P49" s="8"/>
      <c r="Q49" s="8" t="s">
        <v>55</v>
      </c>
      <c r="R49" s="8" t="s">
        <v>56</v>
      </c>
      <c r="S49" s="8" t="s">
        <v>47</v>
      </c>
      <c r="T49" s="8" t="s">
        <v>1126</v>
      </c>
      <c r="U49" s="8" t="s">
        <v>1150</v>
      </c>
      <c r="V49" s="8" t="s">
        <v>1126</v>
      </c>
      <c r="W49" s="8"/>
    </row>
    <row r="50" spans="1:23" x14ac:dyDescent="0.2">
      <c r="A50" s="8" t="s">
        <v>295</v>
      </c>
      <c r="B50" s="8" t="s">
        <v>47</v>
      </c>
      <c r="C50" s="8" t="s">
        <v>296</v>
      </c>
      <c r="D50" s="8" t="s">
        <v>49</v>
      </c>
      <c r="E50" s="8" t="s">
        <v>1151</v>
      </c>
      <c r="F50" s="8" t="s">
        <v>289</v>
      </c>
      <c r="G50" s="8" t="s">
        <v>73</v>
      </c>
      <c r="H50" s="8"/>
      <c r="I50" s="8"/>
      <c r="J50" s="8"/>
      <c r="K50" s="8" t="s">
        <v>290</v>
      </c>
      <c r="L50" s="49" t="s">
        <v>291</v>
      </c>
      <c r="M50" s="8"/>
      <c r="N50" s="8"/>
      <c r="O50" s="8"/>
      <c r="P50" s="8"/>
      <c r="Q50" s="8" t="s">
        <v>55</v>
      </c>
      <c r="R50" s="8" t="s">
        <v>56</v>
      </c>
      <c r="S50" s="8" t="s">
        <v>47</v>
      </c>
      <c r="T50" s="8" t="s">
        <v>1126</v>
      </c>
      <c r="U50" s="8" t="s">
        <v>1150</v>
      </c>
      <c r="V50" s="8" t="s">
        <v>1126</v>
      </c>
      <c r="W50" s="8"/>
    </row>
    <row r="51" spans="1:23" x14ac:dyDescent="0.2">
      <c r="A51" s="8" t="s">
        <v>298</v>
      </c>
      <c r="B51" s="8" t="s">
        <v>47</v>
      </c>
      <c r="C51" s="8" t="s">
        <v>299</v>
      </c>
      <c r="D51" s="8" t="s">
        <v>49</v>
      </c>
      <c r="E51" s="8" t="s">
        <v>1142</v>
      </c>
      <c r="F51" s="8" t="s">
        <v>300</v>
      </c>
      <c r="G51" s="8" t="s">
        <v>80</v>
      </c>
      <c r="H51" s="8" t="s">
        <v>1152</v>
      </c>
      <c r="I51" s="8"/>
      <c r="J51" s="8" t="s">
        <v>1153</v>
      </c>
      <c r="K51" s="8" t="s">
        <v>301</v>
      </c>
      <c r="L51" s="49" t="s">
        <v>302</v>
      </c>
      <c r="M51" s="8"/>
      <c r="N51" s="8"/>
      <c r="O51" s="8"/>
      <c r="P51" s="8"/>
      <c r="Q51" s="8" t="s">
        <v>55</v>
      </c>
      <c r="R51" s="8" t="s">
        <v>56</v>
      </c>
      <c r="S51" s="8" t="s">
        <v>72</v>
      </c>
      <c r="T51" s="8" t="s">
        <v>1150</v>
      </c>
      <c r="U51" s="8" t="s">
        <v>1150</v>
      </c>
      <c r="V51" s="8" t="s">
        <v>212</v>
      </c>
      <c r="W51" s="8" t="s">
        <v>1145</v>
      </c>
    </row>
    <row r="52" spans="1:23" x14ac:dyDescent="0.2">
      <c r="A52" s="8" t="s">
        <v>307</v>
      </c>
      <c r="B52" s="8" t="s">
        <v>47</v>
      </c>
      <c r="C52" s="8" t="s">
        <v>308</v>
      </c>
      <c r="D52" s="8" t="s">
        <v>49</v>
      </c>
      <c r="E52" s="8" t="s">
        <v>1146</v>
      </c>
      <c r="F52" s="8" t="s">
        <v>300</v>
      </c>
      <c r="G52" s="8" t="s">
        <v>80</v>
      </c>
      <c r="H52" s="8" t="s">
        <v>219</v>
      </c>
      <c r="I52" s="8"/>
      <c r="J52" s="8" t="s">
        <v>1154</v>
      </c>
      <c r="K52" s="8" t="s">
        <v>290</v>
      </c>
      <c r="L52" s="49" t="s">
        <v>309</v>
      </c>
      <c r="M52" s="8"/>
      <c r="N52" s="8"/>
      <c r="O52" s="8"/>
      <c r="P52" s="8"/>
      <c r="Q52" s="8" t="s">
        <v>55</v>
      </c>
      <c r="R52" s="8" t="s">
        <v>56</v>
      </c>
      <c r="S52" s="8" t="s">
        <v>72</v>
      </c>
      <c r="T52" s="8" t="s">
        <v>1126</v>
      </c>
      <c r="U52" s="8" t="s">
        <v>1126</v>
      </c>
      <c r="V52" s="8" t="s">
        <v>212</v>
      </c>
      <c r="W52" s="8" t="s">
        <v>1145</v>
      </c>
    </row>
    <row r="53" spans="1:23" x14ac:dyDescent="0.2">
      <c r="A53" s="8" t="s">
        <v>312</v>
      </c>
      <c r="B53" s="8" t="s">
        <v>47</v>
      </c>
      <c r="C53" s="8" t="s">
        <v>313</v>
      </c>
      <c r="D53" s="8" t="s">
        <v>49</v>
      </c>
      <c r="E53" s="8" t="s">
        <v>1148</v>
      </c>
      <c r="F53" s="8" t="s">
        <v>300</v>
      </c>
      <c r="G53" s="8" t="s">
        <v>80</v>
      </c>
      <c r="H53" s="8" t="s">
        <v>1155</v>
      </c>
      <c r="I53" s="8"/>
      <c r="J53" s="8"/>
      <c r="K53" s="8" t="s">
        <v>314</v>
      </c>
      <c r="L53" s="49" t="s">
        <v>291</v>
      </c>
      <c r="M53" s="8"/>
      <c r="N53" s="8"/>
      <c r="O53" s="8"/>
      <c r="P53" s="8"/>
      <c r="Q53" s="8" t="s">
        <v>55</v>
      </c>
      <c r="R53" s="8" t="s">
        <v>56</v>
      </c>
      <c r="S53" s="8" t="s">
        <v>72</v>
      </c>
      <c r="T53" s="8" t="s">
        <v>1150</v>
      </c>
      <c r="U53" s="8" t="s">
        <v>1150</v>
      </c>
      <c r="V53" s="8" t="s">
        <v>1150</v>
      </c>
      <c r="W53" s="8" t="s">
        <v>1145</v>
      </c>
    </row>
    <row r="54" spans="1:23" x14ac:dyDescent="0.2">
      <c r="A54" s="8" t="s">
        <v>317</v>
      </c>
      <c r="B54" s="8" t="s">
        <v>47</v>
      </c>
      <c r="C54" s="8" t="s">
        <v>318</v>
      </c>
      <c r="D54" s="8" t="s">
        <v>49</v>
      </c>
      <c r="E54" s="8" t="s">
        <v>1156</v>
      </c>
      <c r="F54" s="8" t="s">
        <v>289</v>
      </c>
      <c r="G54" s="8" t="s">
        <v>73</v>
      </c>
      <c r="H54" s="8"/>
      <c r="I54" s="8"/>
      <c r="J54" s="8"/>
      <c r="K54" s="8" t="s">
        <v>290</v>
      </c>
      <c r="L54" s="49" t="s">
        <v>291</v>
      </c>
      <c r="M54" s="8"/>
      <c r="N54" s="8"/>
      <c r="O54" s="8"/>
      <c r="P54" s="8"/>
      <c r="Q54" s="8" t="s">
        <v>55</v>
      </c>
      <c r="R54" s="8" t="s">
        <v>56</v>
      </c>
      <c r="S54" s="8" t="s">
        <v>47</v>
      </c>
      <c r="T54" s="8" t="s">
        <v>1126</v>
      </c>
      <c r="U54" s="8" t="s">
        <v>1150</v>
      </c>
      <c r="V54" s="8" t="s">
        <v>1126</v>
      </c>
      <c r="W54" s="8"/>
    </row>
    <row r="55" spans="1:23" x14ac:dyDescent="0.2">
      <c r="A55" s="8" t="s">
        <v>320</v>
      </c>
      <c r="B55" s="8" t="s">
        <v>47</v>
      </c>
      <c r="C55" s="8" t="s">
        <v>321</v>
      </c>
      <c r="D55" s="8" t="s">
        <v>49</v>
      </c>
      <c r="E55" s="8" t="s">
        <v>1142</v>
      </c>
      <c r="F55" s="8" t="s">
        <v>300</v>
      </c>
      <c r="G55" s="8" t="s">
        <v>80</v>
      </c>
      <c r="H55" s="8" t="s">
        <v>1157</v>
      </c>
      <c r="I55" s="8"/>
      <c r="J55" s="8" t="s">
        <v>1158</v>
      </c>
      <c r="K55" s="8" t="s">
        <v>301</v>
      </c>
      <c r="L55" s="49" t="s">
        <v>302</v>
      </c>
      <c r="M55" s="8"/>
      <c r="N55" s="8"/>
      <c r="O55" s="8"/>
      <c r="P55" s="8"/>
      <c r="Q55" s="8" t="s">
        <v>55</v>
      </c>
      <c r="R55" s="8" t="s">
        <v>56</v>
      </c>
      <c r="S55" s="8" t="s">
        <v>72</v>
      </c>
      <c r="T55" s="8" t="s">
        <v>1150</v>
      </c>
      <c r="U55" s="8" t="s">
        <v>1150</v>
      </c>
      <c r="V55" s="8" t="s">
        <v>212</v>
      </c>
      <c r="W55" s="8" t="s">
        <v>1145</v>
      </c>
    </row>
    <row r="56" spans="1:23" x14ac:dyDescent="0.2">
      <c r="A56" s="8" t="s">
        <v>322</v>
      </c>
      <c r="B56" s="8" t="s">
        <v>47</v>
      </c>
      <c r="C56" s="8" t="s">
        <v>323</v>
      </c>
      <c r="D56" s="8" t="s">
        <v>49</v>
      </c>
      <c r="E56" s="8" t="s">
        <v>1146</v>
      </c>
      <c r="F56" s="8" t="s">
        <v>300</v>
      </c>
      <c r="G56" s="8" t="s">
        <v>80</v>
      </c>
      <c r="H56" s="8" t="s">
        <v>324</v>
      </c>
      <c r="I56" s="8"/>
      <c r="J56" s="8" t="s">
        <v>1159</v>
      </c>
      <c r="K56" s="8" t="s">
        <v>290</v>
      </c>
      <c r="L56" s="49" t="s">
        <v>309</v>
      </c>
      <c r="M56" s="8"/>
      <c r="N56" s="8"/>
      <c r="O56" s="8"/>
      <c r="P56" s="8"/>
      <c r="Q56" s="8" t="s">
        <v>55</v>
      </c>
      <c r="R56" s="8" t="s">
        <v>56</v>
      </c>
      <c r="S56" s="8" t="s">
        <v>72</v>
      </c>
      <c r="T56" s="8" t="s">
        <v>1126</v>
      </c>
      <c r="U56" s="8" t="s">
        <v>1126</v>
      </c>
      <c r="V56" s="8" t="s">
        <v>212</v>
      </c>
      <c r="W56" s="8" t="s">
        <v>1145</v>
      </c>
    </row>
    <row r="57" spans="1:23" x14ac:dyDescent="0.2">
      <c r="A57" s="8" t="s">
        <v>325</v>
      </c>
      <c r="B57" s="8" t="s">
        <v>47</v>
      </c>
      <c r="C57" s="8" t="s">
        <v>326</v>
      </c>
      <c r="D57" s="8" t="s">
        <v>49</v>
      </c>
      <c r="E57" s="8" t="s">
        <v>1148</v>
      </c>
      <c r="F57" s="8" t="s">
        <v>300</v>
      </c>
      <c r="G57" s="8" t="s">
        <v>80</v>
      </c>
      <c r="H57" s="8" t="s">
        <v>1160</v>
      </c>
      <c r="I57" s="8"/>
      <c r="J57" s="8"/>
      <c r="K57" s="8" t="s">
        <v>314</v>
      </c>
      <c r="L57" s="49" t="s">
        <v>291</v>
      </c>
      <c r="M57" s="8"/>
      <c r="N57" s="8"/>
      <c r="O57" s="8"/>
      <c r="P57" s="8"/>
      <c r="Q57" s="8" t="s">
        <v>55</v>
      </c>
      <c r="R57" s="8" t="s">
        <v>56</v>
      </c>
      <c r="S57" s="8" t="s">
        <v>72</v>
      </c>
      <c r="T57" s="8" t="s">
        <v>1150</v>
      </c>
      <c r="U57" s="8" t="s">
        <v>1150</v>
      </c>
      <c r="V57" s="8" t="s">
        <v>1150</v>
      </c>
      <c r="W57" s="8" t="s">
        <v>1145</v>
      </c>
    </row>
    <row r="58" spans="1:23" x14ac:dyDescent="0.2">
      <c r="A58" s="8" t="s">
        <v>327</v>
      </c>
      <c r="B58" s="8" t="s">
        <v>47</v>
      </c>
      <c r="C58" s="8" t="s">
        <v>328</v>
      </c>
      <c r="D58" s="8" t="s">
        <v>49</v>
      </c>
      <c r="E58" s="8" t="s">
        <v>1161</v>
      </c>
      <c r="F58" s="8" t="s">
        <v>330</v>
      </c>
      <c r="G58" s="8" t="s">
        <v>1</v>
      </c>
      <c r="H58" s="8"/>
      <c r="I58" s="8"/>
      <c r="J58" s="8"/>
      <c r="K58" s="8" t="s">
        <v>331</v>
      </c>
      <c r="L58" s="49" t="s">
        <v>332</v>
      </c>
      <c r="M58" s="8"/>
      <c r="N58" s="8"/>
      <c r="O58" s="8"/>
      <c r="P58" s="8"/>
      <c r="Q58" s="8" t="s">
        <v>55</v>
      </c>
      <c r="R58" s="8" t="s">
        <v>56</v>
      </c>
      <c r="S58" s="8" t="s">
        <v>47</v>
      </c>
      <c r="T58" s="8" t="s">
        <v>1162</v>
      </c>
      <c r="U58" s="8" t="s">
        <v>1162</v>
      </c>
      <c r="V58" s="8" t="s">
        <v>1162</v>
      </c>
      <c r="W58" s="8"/>
    </row>
    <row r="59" spans="1:23" x14ac:dyDescent="0.2">
      <c r="A59" s="8" t="s">
        <v>336</v>
      </c>
      <c r="B59" s="8" t="s">
        <v>47</v>
      </c>
      <c r="C59" s="8" t="s">
        <v>337</v>
      </c>
      <c r="D59" s="8" t="s">
        <v>49</v>
      </c>
      <c r="E59" s="8" t="s">
        <v>1163</v>
      </c>
      <c r="F59" s="8" t="s">
        <v>194</v>
      </c>
      <c r="G59" s="8" t="s">
        <v>73</v>
      </c>
      <c r="H59" s="8" t="s">
        <v>1164</v>
      </c>
      <c r="I59" s="8"/>
      <c r="J59" s="8"/>
      <c r="K59" s="8" t="s">
        <v>339</v>
      </c>
      <c r="L59" s="49" t="s">
        <v>332</v>
      </c>
      <c r="M59" s="8"/>
      <c r="N59" s="8"/>
      <c r="O59" s="8"/>
      <c r="P59" s="8"/>
      <c r="Q59" s="8" t="s">
        <v>55</v>
      </c>
      <c r="R59" s="8" t="s">
        <v>56</v>
      </c>
      <c r="S59" s="8" t="s">
        <v>72</v>
      </c>
      <c r="T59" s="8" t="s">
        <v>1162</v>
      </c>
      <c r="U59" s="8" t="s">
        <v>1162</v>
      </c>
      <c r="V59" s="8" t="s">
        <v>1162</v>
      </c>
      <c r="W59" s="8" t="s">
        <v>1165</v>
      </c>
    </row>
    <row r="60" spans="1:23" x14ac:dyDescent="0.2">
      <c r="A60" s="8" t="s">
        <v>341</v>
      </c>
      <c r="B60" s="8" t="s">
        <v>47</v>
      </c>
      <c r="C60" s="8" t="s">
        <v>342</v>
      </c>
      <c r="D60" s="8" t="s">
        <v>49</v>
      </c>
      <c r="E60" s="8" t="s">
        <v>1166</v>
      </c>
      <c r="F60" s="8" t="s">
        <v>194</v>
      </c>
      <c r="G60" s="8" t="s">
        <v>73</v>
      </c>
      <c r="H60" s="8" t="s">
        <v>1164</v>
      </c>
      <c r="I60" s="8"/>
      <c r="J60" s="8"/>
      <c r="K60" s="8" t="s">
        <v>339</v>
      </c>
      <c r="L60" s="49" t="s">
        <v>332</v>
      </c>
      <c r="M60" s="8"/>
      <c r="N60" s="8"/>
      <c r="O60" s="8"/>
      <c r="P60" s="8"/>
      <c r="Q60" s="8" t="s">
        <v>55</v>
      </c>
      <c r="R60" s="8" t="s">
        <v>56</v>
      </c>
      <c r="S60" s="8" t="s">
        <v>72</v>
      </c>
      <c r="T60" s="8" t="s">
        <v>1162</v>
      </c>
      <c r="U60" s="8" t="s">
        <v>1162</v>
      </c>
      <c r="V60" s="8" t="s">
        <v>1162</v>
      </c>
      <c r="W60" s="8" t="s">
        <v>1165</v>
      </c>
    </row>
    <row r="61" spans="1:23" x14ac:dyDescent="0.2">
      <c r="A61" s="8" t="s">
        <v>344</v>
      </c>
      <c r="B61" s="8" t="s">
        <v>47</v>
      </c>
      <c r="C61" s="8" t="s">
        <v>345</v>
      </c>
      <c r="D61" s="8" t="s">
        <v>49</v>
      </c>
      <c r="E61" s="8" t="s">
        <v>1167</v>
      </c>
      <c r="F61" s="8" t="s">
        <v>347</v>
      </c>
      <c r="G61" s="8" t="s">
        <v>73</v>
      </c>
      <c r="H61" s="8" t="s">
        <v>1168</v>
      </c>
      <c r="I61" s="8"/>
      <c r="J61" s="8" t="s">
        <v>1169</v>
      </c>
      <c r="K61" s="8" t="s">
        <v>331</v>
      </c>
      <c r="L61" s="49" t="s">
        <v>348</v>
      </c>
      <c r="M61" s="8"/>
      <c r="N61" s="8"/>
      <c r="O61" s="8"/>
      <c r="P61" s="8"/>
      <c r="Q61" s="8" t="s">
        <v>55</v>
      </c>
      <c r="R61" s="8" t="s">
        <v>56</v>
      </c>
      <c r="S61" s="8" t="s">
        <v>72</v>
      </c>
      <c r="T61" s="8" t="s">
        <v>1162</v>
      </c>
      <c r="U61" s="8" t="s">
        <v>1162</v>
      </c>
      <c r="V61" s="8" t="s">
        <v>212</v>
      </c>
      <c r="W61" s="8" t="s">
        <v>1165</v>
      </c>
    </row>
    <row r="62" spans="1:23" x14ac:dyDescent="0.2">
      <c r="A62" s="8" t="s">
        <v>351</v>
      </c>
      <c r="B62" s="8" t="s">
        <v>47</v>
      </c>
      <c r="C62" s="8" t="s">
        <v>352</v>
      </c>
      <c r="D62" s="8" t="s">
        <v>49</v>
      </c>
      <c r="E62" s="8" t="s">
        <v>1170</v>
      </c>
      <c r="F62" s="8" t="s">
        <v>347</v>
      </c>
      <c r="G62" s="8" t="s">
        <v>73</v>
      </c>
      <c r="H62" s="8" t="s">
        <v>1168</v>
      </c>
      <c r="I62" s="8"/>
      <c r="J62" s="8"/>
      <c r="K62" s="8" t="s">
        <v>331</v>
      </c>
      <c r="L62" s="49" t="s">
        <v>348</v>
      </c>
      <c r="M62" s="8"/>
      <c r="N62" s="8"/>
      <c r="O62" s="8"/>
      <c r="P62" s="8"/>
      <c r="Q62" s="8" t="s">
        <v>55</v>
      </c>
      <c r="R62" s="8" t="s">
        <v>56</v>
      </c>
      <c r="S62" s="8" t="s">
        <v>72</v>
      </c>
      <c r="T62" s="8" t="s">
        <v>1171</v>
      </c>
      <c r="U62" s="8" t="s">
        <v>1171</v>
      </c>
      <c r="V62" s="8" t="s">
        <v>1171</v>
      </c>
      <c r="W62" s="8" t="s">
        <v>1165</v>
      </c>
    </row>
    <row r="63" spans="1:23" x14ac:dyDescent="0.2">
      <c r="A63" s="8" t="s">
        <v>355</v>
      </c>
      <c r="B63" s="8" t="s">
        <v>47</v>
      </c>
      <c r="C63" s="8" t="s">
        <v>356</v>
      </c>
      <c r="D63" s="8" t="s">
        <v>49</v>
      </c>
      <c r="E63" s="8" t="s">
        <v>1172</v>
      </c>
      <c r="F63" s="8" t="s">
        <v>347</v>
      </c>
      <c r="G63" s="8" t="s">
        <v>73</v>
      </c>
      <c r="H63" s="8" t="s">
        <v>1168</v>
      </c>
      <c r="I63" s="8"/>
      <c r="J63" s="8"/>
      <c r="K63" s="8" t="s">
        <v>331</v>
      </c>
      <c r="L63" s="49" t="s">
        <v>348</v>
      </c>
      <c r="M63" s="8"/>
      <c r="N63" s="8"/>
      <c r="O63" s="8"/>
      <c r="P63" s="8"/>
      <c r="Q63" s="8" t="s">
        <v>55</v>
      </c>
      <c r="R63" s="8" t="s">
        <v>56</v>
      </c>
      <c r="S63" s="8" t="s">
        <v>72</v>
      </c>
      <c r="T63" s="8" t="s">
        <v>1171</v>
      </c>
      <c r="U63" s="8" t="s">
        <v>1171</v>
      </c>
      <c r="V63" s="8" t="s">
        <v>1171</v>
      </c>
      <c r="W63" s="8" t="s">
        <v>1165</v>
      </c>
    </row>
    <row r="64" spans="1:23" x14ac:dyDescent="0.2">
      <c r="A64" s="8" t="s">
        <v>358</v>
      </c>
      <c r="B64" s="8" t="s">
        <v>47</v>
      </c>
      <c r="C64" s="8" t="s">
        <v>359</v>
      </c>
      <c r="D64" s="8" t="s">
        <v>49</v>
      </c>
      <c r="E64" s="8" t="s">
        <v>1173</v>
      </c>
      <c r="F64" s="8" t="s">
        <v>361</v>
      </c>
      <c r="G64" s="8" t="s">
        <v>1</v>
      </c>
      <c r="H64" s="8" t="s">
        <v>1174</v>
      </c>
      <c r="I64" s="8"/>
      <c r="J64" s="8" t="s">
        <v>1175</v>
      </c>
      <c r="K64" s="8" t="s">
        <v>188</v>
      </c>
      <c r="L64" s="49" t="s">
        <v>362</v>
      </c>
      <c r="M64" s="8"/>
      <c r="N64" s="8"/>
      <c r="O64" s="8"/>
      <c r="P64" s="8"/>
      <c r="Q64" s="8" t="s">
        <v>55</v>
      </c>
      <c r="R64" s="8" t="s">
        <v>56</v>
      </c>
      <c r="S64" s="8" t="s">
        <v>72</v>
      </c>
      <c r="T64" s="8" t="s">
        <v>212</v>
      </c>
      <c r="U64" s="8" t="s">
        <v>212</v>
      </c>
      <c r="V64" s="8" t="s">
        <v>212</v>
      </c>
      <c r="W64" s="8" t="s">
        <v>1134</v>
      </c>
    </row>
    <row r="65" spans="1:23" x14ac:dyDescent="0.2">
      <c r="A65" s="8" t="s">
        <v>364</v>
      </c>
      <c r="B65" s="8" t="s">
        <v>47</v>
      </c>
      <c r="C65" s="8" t="s">
        <v>365</v>
      </c>
      <c r="D65" s="8" t="s">
        <v>49</v>
      </c>
      <c r="E65" s="8" t="s">
        <v>1176</v>
      </c>
      <c r="F65" s="8" t="s">
        <v>367</v>
      </c>
      <c r="G65" s="8" t="s">
        <v>57</v>
      </c>
      <c r="H65" s="8"/>
      <c r="I65" s="8"/>
      <c r="J65" s="8"/>
      <c r="K65" s="8" t="s">
        <v>290</v>
      </c>
      <c r="L65" s="49" t="s">
        <v>217</v>
      </c>
      <c r="M65" s="8"/>
      <c r="N65" s="8"/>
      <c r="O65" s="8"/>
      <c r="P65" s="8"/>
      <c r="Q65" s="8" t="s">
        <v>55</v>
      </c>
      <c r="R65" s="8" t="s">
        <v>56</v>
      </c>
      <c r="S65" s="8" t="s">
        <v>47</v>
      </c>
      <c r="T65" s="8" t="s">
        <v>1177</v>
      </c>
      <c r="U65" s="8" t="s">
        <v>1126</v>
      </c>
      <c r="V65" s="8" t="s">
        <v>1177</v>
      </c>
      <c r="W65" s="8"/>
    </row>
    <row r="66" spans="1:23" x14ac:dyDescent="0.2">
      <c r="A66" s="8" t="s">
        <v>368</v>
      </c>
      <c r="B66" s="8" t="s">
        <v>47</v>
      </c>
      <c r="C66" s="8" t="s">
        <v>369</v>
      </c>
      <c r="D66" s="8" t="s">
        <v>49</v>
      </c>
      <c r="E66" s="8" t="s">
        <v>1178</v>
      </c>
      <c r="F66" s="8" t="s">
        <v>194</v>
      </c>
      <c r="G66" s="8" t="s">
        <v>1</v>
      </c>
      <c r="H66" s="8" t="s">
        <v>358</v>
      </c>
      <c r="I66" s="8">
        <v>121</v>
      </c>
      <c r="J66" s="8" t="s">
        <v>1179</v>
      </c>
      <c r="K66" s="8" t="s">
        <v>371</v>
      </c>
      <c r="L66" s="49" t="s">
        <v>372</v>
      </c>
      <c r="M66" s="8"/>
      <c r="N66" s="8"/>
      <c r="O66" s="8"/>
      <c r="P66" s="8"/>
      <c r="Q66" s="8" t="s">
        <v>55</v>
      </c>
      <c r="R66" s="8" t="s">
        <v>56</v>
      </c>
      <c r="S66" s="8" t="s">
        <v>72</v>
      </c>
      <c r="T66" s="8" t="s">
        <v>212</v>
      </c>
      <c r="U66" s="8" t="s">
        <v>212</v>
      </c>
      <c r="V66" s="8" t="s">
        <v>212</v>
      </c>
      <c r="W66" s="8" t="s">
        <v>1129</v>
      </c>
    </row>
    <row r="67" spans="1:23" x14ac:dyDescent="0.2">
      <c r="A67" s="8" t="s">
        <v>374</v>
      </c>
      <c r="B67" s="8" t="s">
        <v>47</v>
      </c>
      <c r="C67" s="8" t="s">
        <v>375</v>
      </c>
      <c r="D67" s="8" t="s">
        <v>49</v>
      </c>
      <c r="E67" s="8" t="s">
        <v>1180</v>
      </c>
      <c r="F67" s="8" t="s">
        <v>265</v>
      </c>
      <c r="G67" s="8" t="s">
        <v>1</v>
      </c>
      <c r="H67" s="8"/>
      <c r="I67" s="8"/>
      <c r="J67" s="8"/>
      <c r="K67" s="8" t="s">
        <v>266</v>
      </c>
      <c r="L67" s="49" t="s">
        <v>217</v>
      </c>
      <c r="M67" s="8"/>
      <c r="N67" s="8"/>
      <c r="O67" s="8"/>
      <c r="P67" s="8"/>
      <c r="Q67" s="8" t="s">
        <v>55</v>
      </c>
      <c r="R67" s="8" t="s">
        <v>56</v>
      </c>
      <c r="S67" s="8" t="s">
        <v>47</v>
      </c>
      <c r="T67" s="8" t="s">
        <v>1126</v>
      </c>
      <c r="U67" s="8" t="s">
        <v>1126</v>
      </c>
      <c r="V67" s="8" t="s">
        <v>1126</v>
      </c>
      <c r="W67" s="8"/>
    </row>
    <row r="68" spans="1:23" x14ac:dyDescent="0.2">
      <c r="A68" s="8" t="s">
        <v>377</v>
      </c>
      <c r="B68" s="8" t="s">
        <v>47</v>
      </c>
      <c r="C68" s="8" t="s">
        <v>378</v>
      </c>
      <c r="D68" s="8" t="s">
        <v>49</v>
      </c>
      <c r="E68" s="8" t="s">
        <v>1132</v>
      </c>
      <c r="F68" s="8" t="s">
        <v>194</v>
      </c>
      <c r="G68" s="8" t="s">
        <v>73</v>
      </c>
      <c r="H68" s="8" t="s">
        <v>379</v>
      </c>
      <c r="I68" s="8"/>
      <c r="J68" s="8"/>
      <c r="K68" s="8" t="s">
        <v>380</v>
      </c>
      <c r="L68" s="49" t="s">
        <v>381</v>
      </c>
      <c r="M68" s="8"/>
      <c r="N68" s="8"/>
      <c r="O68" s="8"/>
      <c r="P68" s="8"/>
      <c r="Q68" s="8" t="s">
        <v>55</v>
      </c>
      <c r="R68" s="8" t="s">
        <v>56</v>
      </c>
      <c r="S68" s="8" t="s">
        <v>72</v>
      </c>
      <c r="T68" s="8" t="s">
        <v>1181</v>
      </c>
      <c r="U68" s="8" t="s">
        <v>1181</v>
      </c>
      <c r="V68" s="8" t="s">
        <v>1181</v>
      </c>
      <c r="W68" s="8" t="s">
        <v>1134</v>
      </c>
    </row>
    <row r="69" spans="1:23" x14ac:dyDescent="0.2">
      <c r="A69" s="8" t="s">
        <v>384</v>
      </c>
      <c r="B69" s="8" t="s">
        <v>47</v>
      </c>
      <c r="C69" s="8" t="s">
        <v>385</v>
      </c>
      <c r="D69" s="8" t="s">
        <v>49</v>
      </c>
      <c r="E69" s="8" t="s">
        <v>1135</v>
      </c>
      <c r="F69" s="8" t="s">
        <v>240</v>
      </c>
      <c r="G69" s="8" t="s">
        <v>73</v>
      </c>
      <c r="H69" s="8" t="s">
        <v>1182</v>
      </c>
      <c r="I69" s="8"/>
      <c r="J69" s="8" t="s">
        <v>386</v>
      </c>
      <c r="K69" s="8" t="s">
        <v>387</v>
      </c>
      <c r="L69" s="49" t="s">
        <v>388</v>
      </c>
      <c r="M69" s="8"/>
      <c r="N69" s="8"/>
      <c r="O69" s="8"/>
      <c r="P69" s="8"/>
      <c r="Q69" s="8" t="s">
        <v>55</v>
      </c>
      <c r="R69" s="8" t="s">
        <v>56</v>
      </c>
      <c r="S69" s="8" t="s">
        <v>72</v>
      </c>
      <c r="T69" s="8" t="s">
        <v>1181</v>
      </c>
      <c r="U69" s="8" t="s">
        <v>1181</v>
      </c>
      <c r="V69" s="8" t="s">
        <v>212</v>
      </c>
      <c r="W69" s="8" t="s">
        <v>1129</v>
      </c>
    </row>
    <row r="70" spans="1:23" x14ac:dyDescent="0.2">
      <c r="A70" s="8" t="s">
        <v>391</v>
      </c>
      <c r="B70" s="8" t="s">
        <v>47</v>
      </c>
      <c r="C70" s="8" t="s">
        <v>392</v>
      </c>
      <c r="D70" s="8" t="s">
        <v>49</v>
      </c>
      <c r="E70" s="8" t="s">
        <v>1137</v>
      </c>
      <c r="F70" s="8" t="s">
        <v>194</v>
      </c>
      <c r="G70" s="8" t="s">
        <v>73</v>
      </c>
      <c r="H70" s="8" t="s">
        <v>1182</v>
      </c>
      <c r="I70" s="8"/>
      <c r="J70" s="8" t="s">
        <v>393</v>
      </c>
      <c r="K70" s="8" t="s">
        <v>387</v>
      </c>
      <c r="L70" s="49" t="s">
        <v>394</v>
      </c>
      <c r="M70" s="8"/>
      <c r="N70" s="8"/>
      <c r="O70" s="8"/>
      <c r="P70" s="8"/>
      <c r="Q70" s="8" t="s">
        <v>55</v>
      </c>
      <c r="R70" s="8" t="s">
        <v>56</v>
      </c>
      <c r="S70" s="8" t="s">
        <v>72</v>
      </c>
      <c r="T70" s="8" t="s">
        <v>1181</v>
      </c>
      <c r="U70" s="8" t="s">
        <v>1181</v>
      </c>
      <c r="V70" s="8" t="s">
        <v>212</v>
      </c>
      <c r="W70" s="8" t="s">
        <v>1129</v>
      </c>
    </row>
    <row r="71" spans="1:23" x14ac:dyDescent="0.2">
      <c r="A71" s="8" t="s">
        <v>396</v>
      </c>
      <c r="B71" s="8" t="s">
        <v>47</v>
      </c>
      <c r="C71" s="8" t="s">
        <v>397</v>
      </c>
      <c r="D71" s="8" t="s">
        <v>49</v>
      </c>
      <c r="E71" s="8" t="s">
        <v>1138</v>
      </c>
      <c r="F71" s="8" t="s">
        <v>194</v>
      </c>
      <c r="G71" s="8" t="s">
        <v>73</v>
      </c>
      <c r="H71" s="8" t="s">
        <v>391</v>
      </c>
      <c r="I71" s="8"/>
      <c r="J71" s="8" t="s">
        <v>386</v>
      </c>
      <c r="K71" s="8" t="s">
        <v>398</v>
      </c>
      <c r="L71" s="49" t="s">
        <v>388</v>
      </c>
      <c r="M71" s="8"/>
      <c r="N71" s="8"/>
      <c r="O71" s="8"/>
      <c r="P71" s="8"/>
      <c r="Q71" s="8" t="s">
        <v>55</v>
      </c>
      <c r="R71" s="8" t="s">
        <v>56</v>
      </c>
      <c r="S71" s="8" t="s">
        <v>72</v>
      </c>
      <c r="T71" s="8" t="s">
        <v>1181</v>
      </c>
      <c r="U71" s="8" t="s">
        <v>1181</v>
      </c>
      <c r="V71" s="8" t="s">
        <v>212</v>
      </c>
      <c r="W71" s="8" t="s">
        <v>1134</v>
      </c>
    </row>
    <row r="72" spans="1:23" x14ac:dyDescent="0.2">
      <c r="A72" s="8" t="s">
        <v>400</v>
      </c>
      <c r="B72" s="8" t="s">
        <v>47</v>
      </c>
      <c r="C72" s="8" t="s">
        <v>401</v>
      </c>
      <c r="D72" s="8" t="s">
        <v>49</v>
      </c>
      <c r="E72" s="8" t="s">
        <v>1139</v>
      </c>
      <c r="F72" s="8" t="s">
        <v>194</v>
      </c>
      <c r="G72" s="8" t="s">
        <v>73</v>
      </c>
      <c r="H72" s="8" t="s">
        <v>391</v>
      </c>
      <c r="I72" s="8"/>
      <c r="J72" s="8" t="s">
        <v>386</v>
      </c>
      <c r="K72" s="8" t="s">
        <v>398</v>
      </c>
      <c r="L72" s="49" t="s">
        <v>388</v>
      </c>
      <c r="M72" s="8"/>
      <c r="N72" s="8"/>
      <c r="O72" s="8"/>
      <c r="P72" s="8"/>
      <c r="Q72" s="8" t="s">
        <v>55</v>
      </c>
      <c r="R72" s="8" t="s">
        <v>56</v>
      </c>
      <c r="S72" s="8" t="s">
        <v>72</v>
      </c>
      <c r="T72" s="8" t="s">
        <v>1181</v>
      </c>
      <c r="U72" s="8" t="s">
        <v>1181</v>
      </c>
      <c r="V72" s="8" t="s">
        <v>212</v>
      </c>
      <c r="W72" s="8" t="s">
        <v>1129</v>
      </c>
    </row>
    <row r="73" spans="1:23" x14ac:dyDescent="0.2">
      <c r="A73" s="8" t="s">
        <v>402</v>
      </c>
      <c r="B73" s="8" t="s">
        <v>47</v>
      </c>
      <c r="C73" s="8" t="s">
        <v>403</v>
      </c>
      <c r="D73" s="8" t="s">
        <v>49</v>
      </c>
      <c r="E73" s="8" t="s">
        <v>1140</v>
      </c>
      <c r="F73" s="8" t="s">
        <v>194</v>
      </c>
      <c r="G73" s="8" t="s">
        <v>73</v>
      </c>
      <c r="H73" s="8" t="s">
        <v>379</v>
      </c>
      <c r="I73" s="8"/>
      <c r="J73" s="8"/>
      <c r="K73" s="8" t="s">
        <v>380</v>
      </c>
      <c r="L73" s="49" t="s">
        <v>381</v>
      </c>
      <c r="M73" s="8"/>
      <c r="N73" s="8"/>
      <c r="O73" s="8"/>
      <c r="P73" s="8"/>
      <c r="Q73" s="8" t="s">
        <v>55</v>
      </c>
      <c r="R73" s="8" t="s">
        <v>56</v>
      </c>
      <c r="S73" s="8" t="s">
        <v>72</v>
      </c>
      <c r="T73" s="8" t="s">
        <v>1181</v>
      </c>
      <c r="U73" s="8" t="s">
        <v>1181</v>
      </c>
      <c r="V73" s="8" t="s">
        <v>1181</v>
      </c>
      <c r="W73" s="8" t="s">
        <v>1129</v>
      </c>
    </row>
    <row r="74" spans="1:23" x14ac:dyDescent="0.2">
      <c r="A74" s="8" t="s">
        <v>404</v>
      </c>
      <c r="B74" s="8" t="s">
        <v>47</v>
      </c>
      <c r="C74" s="8" t="s">
        <v>405</v>
      </c>
      <c r="D74" s="8" t="s">
        <v>49</v>
      </c>
      <c r="E74" s="8" t="s">
        <v>1141</v>
      </c>
      <c r="F74" s="8" t="s">
        <v>265</v>
      </c>
      <c r="G74" s="8" t="s">
        <v>73</v>
      </c>
      <c r="H74" s="8"/>
      <c r="I74" s="8"/>
      <c r="J74" s="8"/>
      <c r="K74" s="8" t="s">
        <v>266</v>
      </c>
      <c r="L74" s="49" t="s">
        <v>217</v>
      </c>
      <c r="M74" s="8"/>
      <c r="N74" s="8"/>
      <c r="O74" s="8"/>
      <c r="P74" s="8"/>
      <c r="Q74" s="8" t="s">
        <v>55</v>
      </c>
      <c r="R74" s="8" t="s">
        <v>56</v>
      </c>
      <c r="S74" s="8" t="s">
        <v>47</v>
      </c>
      <c r="T74" s="8" t="s">
        <v>1126</v>
      </c>
      <c r="U74" s="8" t="s">
        <v>1126</v>
      </c>
      <c r="V74" s="8" t="s">
        <v>1126</v>
      </c>
      <c r="W74" s="8"/>
    </row>
    <row r="75" spans="1:23" x14ac:dyDescent="0.2">
      <c r="A75" s="8" t="s">
        <v>406</v>
      </c>
      <c r="B75" s="8" t="s">
        <v>47</v>
      </c>
      <c r="C75" s="8" t="s">
        <v>407</v>
      </c>
      <c r="D75" s="8" t="s">
        <v>49</v>
      </c>
      <c r="E75" s="8" t="s">
        <v>1142</v>
      </c>
      <c r="F75" s="8" t="s">
        <v>83</v>
      </c>
      <c r="G75" s="8" t="s">
        <v>80</v>
      </c>
      <c r="H75" s="8" t="s">
        <v>1183</v>
      </c>
      <c r="I75" s="8"/>
      <c r="J75" s="8" t="s">
        <v>1184</v>
      </c>
      <c r="K75" s="8" t="s">
        <v>270</v>
      </c>
      <c r="L75" s="49" t="s">
        <v>271</v>
      </c>
      <c r="M75" s="8"/>
      <c r="N75" s="8"/>
      <c r="O75" s="8"/>
      <c r="P75" s="8"/>
      <c r="Q75" s="8" t="s">
        <v>55</v>
      </c>
      <c r="R75" s="8" t="s">
        <v>56</v>
      </c>
      <c r="S75" s="8" t="s">
        <v>72</v>
      </c>
      <c r="T75" s="8" t="s">
        <v>1126</v>
      </c>
      <c r="U75" s="8" t="s">
        <v>1126</v>
      </c>
      <c r="V75" s="8" t="s">
        <v>212</v>
      </c>
      <c r="W75" s="8" t="s">
        <v>1145</v>
      </c>
    </row>
    <row r="76" spans="1:23" x14ac:dyDescent="0.2">
      <c r="A76" s="8" t="s">
        <v>408</v>
      </c>
      <c r="B76" s="8" t="s">
        <v>47</v>
      </c>
      <c r="C76" s="8" t="s">
        <v>409</v>
      </c>
      <c r="D76" s="8" t="s">
        <v>49</v>
      </c>
      <c r="E76" s="8" t="s">
        <v>1146</v>
      </c>
      <c r="F76" s="8" t="s">
        <v>83</v>
      </c>
      <c r="G76" s="8" t="s">
        <v>80</v>
      </c>
      <c r="H76" s="8" t="s">
        <v>410</v>
      </c>
      <c r="I76" s="8"/>
      <c r="J76" s="8" t="s">
        <v>1185</v>
      </c>
      <c r="K76" s="8" t="s">
        <v>266</v>
      </c>
      <c r="L76" s="49" t="s">
        <v>279</v>
      </c>
      <c r="M76" s="8"/>
      <c r="N76" s="8"/>
      <c r="O76" s="8"/>
      <c r="P76" s="8"/>
      <c r="Q76" s="8" t="s">
        <v>55</v>
      </c>
      <c r="R76" s="8" t="s">
        <v>56</v>
      </c>
      <c r="S76" s="8" t="s">
        <v>72</v>
      </c>
      <c r="T76" s="8" t="s">
        <v>1126</v>
      </c>
      <c r="U76" s="8" t="s">
        <v>1126</v>
      </c>
      <c r="V76" s="8" t="s">
        <v>212</v>
      </c>
      <c r="W76" s="8" t="s">
        <v>1145</v>
      </c>
    </row>
    <row r="77" spans="1:23" x14ac:dyDescent="0.2">
      <c r="A77" s="8" t="s">
        <v>411</v>
      </c>
      <c r="B77" s="8" t="s">
        <v>47</v>
      </c>
      <c r="C77" s="8" t="s">
        <v>412</v>
      </c>
      <c r="D77" s="8" t="s">
        <v>49</v>
      </c>
      <c r="E77" s="8" t="s">
        <v>1148</v>
      </c>
      <c r="F77" s="8" t="s">
        <v>83</v>
      </c>
      <c r="G77" s="8" t="s">
        <v>80</v>
      </c>
      <c r="H77" s="8" t="s">
        <v>1185</v>
      </c>
      <c r="I77" s="8"/>
      <c r="J77" s="8"/>
      <c r="K77" s="8" t="s">
        <v>284</v>
      </c>
      <c r="L77" s="49" t="s">
        <v>217</v>
      </c>
      <c r="M77" s="8"/>
      <c r="N77" s="8"/>
      <c r="O77" s="8"/>
      <c r="P77" s="8"/>
      <c r="Q77" s="8" t="s">
        <v>55</v>
      </c>
      <c r="R77" s="8" t="s">
        <v>56</v>
      </c>
      <c r="S77" s="8" t="s">
        <v>72</v>
      </c>
      <c r="T77" s="8" t="s">
        <v>1126</v>
      </c>
      <c r="U77" s="8" t="s">
        <v>1126</v>
      </c>
      <c r="V77" s="8" t="s">
        <v>1126</v>
      </c>
      <c r="W77" s="8" t="s">
        <v>1145</v>
      </c>
    </row>
    <row r="78" spans="1:23" x14ac:dyDescent="0.2">
      <c r="A78" s="8" t="s">
        <v>413</v>
      </c>
      <c r="B78" s="8" t="s">
        <v>47</v>
      </c>
      <c r="C78" s="8" t="s">
        <v>414</v>
      </c>
      <c r="D78" s="8" t="s">
        <v>49</v>
      </c>
      <c r="E78" s="8" t="s">
        <v>1186</v>
      </c>
      <c r="F78" s="8" t="s">
        <v>289</v>
      </c>
      <c r="G78" s="8" t="s">
        <v>1</v>
      </c>
      <c r="H78" s="8"/>
      <c r="I78" s="8"/>
      <c r="J78" s="8"/>
      <c r="K78" s="8" t="s">
        <v>290</v>
      </c>
      <c r="L78" s="49" t="s">
        <v>291</v>
      </c>
      <c r="M78" s="8"/>
      <c r="N78" s="8"/>
      <c r="O78" s="8"/>
      <c r="P78" s="8"/>
      <c r="Q78" s="8" t="s">
        <v>55</v>
      </c>
      <c r="R78" s="8" t="s">
        <v>56</v>
      </c>
      <c r="S78" s="8" t="s">
        <v>47</v>
      </c>
      <c r="T78" s="8" t="s">
        <v>1126</v>
      </c>
      <c r="U78" s="8" t="s">
        <v>1150</v>
      </c>
      <c r="V78" s="8" t="s">
        <v>1126</v>
      </c>
      <c r="W78" s="8"/>
    </row>
    <row r="79" spans="1:23" x14ac:dyDescent="0.2">
      <c r="A79" s="8" t="s">
        <v>416</v>
      </c>
      <c r="B79" s="8" t="s">
        <v>47</v>
      </c>
      <c r="C79" s="8" t="s">
        <v>417</v>
      </c>
      <c r="D79" s="8" t="s">
        <v>49</v>
      </c>
      <c r="E79" s="8" t="s">
        <v>1151</v>
      </c>
      <c r="F79" s="8" t="s">
        <v>289</v>
      </c>
      <c r="G79" s="8" t="s">
        <v>73</v>
      </c>
      <c r="H79" s="8"/>
      <c r="I79" s="8"/>
      <c r="J79" s="8"/>
      <c r="K79" s="8" t="s">
        <v>290</v>
      </c>
      <c r="L79" s="49" t="s">
        <v>291</v>
      </c>
      <c r="M79" s="8"/>
      <c r="N79" s="8"/>
      <c r="O79" s="8"/>
      <c r="P79" s="8"/>
      <c r="Q79" s="8" t="s">
        <v>55</v>
      </c>
      <c r="R79" s="8" t="s">
        <v>56</v>
      </c>
      <c r="S79" s="8" t="s">
        <v>47</v>
      </c>
      <c r="T79" s="8" t="s">
        <v>1126</v>
      </c>
      <c r="U79" s="8" t="s">
        <v>1150</v>
      </c>
      <c r="V79" s="8" t="s">
        <v>1126</v>
      </c>
      <c r="W79" s="8"/>
    </row>
    <row r="80" spans="1:23" x14ac:dyDescent="0.2">
      <c r="A80" s="8" t="s">
        <v>418</v>
      </c>
      <c r="B80" s="8" t="s">
        <v>47</v>
      </c>
      <c r="C80" s="8" t="s">
        <v>419</v>
      </c>
      <c r="D80" s="8" t="s">
        <v>49</v>
      </c>
      <c r="E80" s="8" t="s">
        <v>1142</v>
      </c>
      <c r="F80" s="8" t="s">
        <v>300</v>
      </c>
      <c r="G80" s="8" t="s">
        <v>80</v>
      </c>
      <c r="H80" s="8" t="s">
        <v>1187</v>
      </c>
      <c r="I80" s="8"/>
      <c r="J80" s="8" t="s">
        <v>1188</v>
      </c>
      <c r="K80" s="8" t="s">
        <v>301</v>
      </c>
      <c r="L80" s="49" t="s">
        <v>302</v>
      </c>
      <c r="M80" s="8"/>
      <c r="N80" s="8"/>
      <c r="O80" s="8"/>
      <c r="P80" s="8"/>
      <c r="Q80" s="8" t="s">
        <v>55</v>
      </c>
      <c r="R80" s="8" t="s">
        <v>56</v>
      </c>
      <c r="S80" s="8" t="s">
        <v>72</v>
      </c>
      <c r="T80" s="8" t="s">
        <v>1150</v>
      </c>
      <c r="U80" s="8" t="s">
        <v>1150</v>
      </c>
      <c r="V80" s="8" t="s">
        <v>212</v>
      </c>
      <c r="W80" s="8" t="s">
        <v>1145</v>
      </c>
    </row>
    <row r="81" spans="1:23" x14ac:dyDescent="0.2">
      <c r="A81" s="8" t="s">
        <v>420</v>
      </c>
      <c r="B81" s="8" t="s">
        <v>47</v>
      </c>
      <c r="C81" s="8" t="s">
        <v>421</v>
      </c>
      <c r="D81" s="8" t="s">
        <v>49</v>
      </c>
      <c r="E81" s="8" t="s">
        <v>1146</v>
      </c>
      <c r="F81" s="8" t="s">
        <v>300</v>
      </c>
      <c r="G81" s="8" t="s">
        <v>80</v>
      </c>
      <c r="H81" s="8" t="s">
        <v>219</v>
      </c>
      <c r="I81" s="8"/>
      <c r="J81" s="8" t="s">
        <v>1189</v>
      </c>
      <c r="K81" s="8" t="s">
        <v>290</v>
      </c>
      <c r="L81" s="49" t="s">
        <v>309</v>
      </c>
      <c r="M81" s="8"/>
      <c r="N81" s="8"/>
      <c r="O81" s="8"/>
      <c r="P81" s="8"/>
      <c r="Q81" s="8" t="s">
        <v>55</v>
      </c>
      <c r="R81" s="8" t="s">
        <v>56</v>
      </c>
      <c r="S81" s="8" t="s">
        <v>72</v>
      </c>
      <c r="T81" s="8" t="s">
        <v>1126</v>
      </c>
      <c r="U81" s="8" t="s">
        <v>1126</v>
      </c>
      <c r="V81" s="8" t="s">
        <v>212</v>
      </c>
      <c r="W81" s="8" t="s">
        <v>1145</v>
      </c>
    </row>
    <row r="82" spans="1:23" x14ac:dyDescent="0.2">
      <c r="A82" s="8" t="s">
        <v>422</v>
      </c>
      <c r="B82" s="8" t="s">
        <v>47</v>
      </c>
      <c r="C82" s="8" t="s">
        <v>423</v>
      </c>
      <c r="D82" s="8" t="s">
        <v>49</v>
      </c>
      <c r="E82" s="8" t="s">
        <v>1148</v>
      </c>
      <c r="F82" s="8" t="s">
        <v>300</v>
      </c>
      <c r="G82" s="8" t="s">
        <v>80</v>
      </c>
      <c r="H82" s="8" t="s">
        <v>1190</v>
      </c>
      <c r="I82" s="8"/>
      <c r="J82" s="8"/>
      <c r="K82" s="8" t="s">
        <v>314</v>
      </c>
      <c r="L82" s="49" t="s">
        <v>291</v>
      </c>
      <c r="M82" s="8"/>
      <c r="N82" s="8"/>
      <c r="O82" s="8"/>
      <c r="P82" s="8"/>
      <c r="Q82" s="8" t="s">
        <v>55</v>
      </c>
      <c r="R82" s="8" t="s">
        <v>56</v>
      </c>
      <c r="S82" s="8" t="s">
        <v>72</v>
      </c>
      <c r="T82" s="8" t="s">
        <v>1150</v>
      </c>
      <c r="U82" s="8" t="s">
        <v>1150</v>
      </c>
      <c r="V82" s="8" t="s">
        <v>1150</v>
      </c>
      <c r="W82" s="8" t="s">
        <v>1145</v>
      </c>
    </row>
    <row r="83" spans="1:23" x14ac:dyDescent="0.2">
      <c r="A83" s="8" t="s">
        <v>424</v>
      </c>
      <c r="B83" s="8" t="s">
        <v>47</v>
      </c>
      <c r="C83" s="8" t="s">
        <v>425</v>
      </c>
      <c r="D83" s="8" t="s">
        <v>49</v>
      </c>
      <c r="E83" s="8" t="s">
        <v>1156</v>
      </c>
      <c r="F83" s="8" t="s">
        <v>289</v>
      </c>
      <c r="G83" s="8" t="s">
        <v>73</v>
      </c>
      <c r="H83" s="8"/>
      <c r="I83" s="8"/>
      <c r="J83" s="8"/>
      <c r="K83" s="8" t="s">
        <v>290</v>
      </c>
      <c r="L83" s="49" t="s">
        <v>291</v>
      </c>
      <c r="M83" s="8"/>
      <c r="N83" s="8"/>
      <c r="O83" s="8"/>
      <c r="P83" s="8"/>
      <c r="Q83" s="8" t="s">
        <v>55</v>
      </c>
      <c r="R83" s="8" t="s">
        <v>56</v>
      </c>
      <c r="S83" s="8" t="s">
        <v>47</v>
      </c>
      <c r="T83" s="8" t="s">
        <v>1126</v>
      </c>
      <c r="U83" s="8" t="s">
        <v>1150</v>
      </c>
      <c r="V83" s="8" t="s">
        <v>1126</v>
      </c>
      <c r="W83" s="8"/>
    </row>
    <row r="84" spans="1:23" x14ac:dyDescent="0.2">
      <c r="A84" s="8" t="s">
        <v>427</v>
      </c>
      <c r="B84" s="8" t="s">
        <v>47</v>
      </c>
      <c r="C84" s="8" t="s">
        <v>428</v>
      </c>
      <c r="D84" s="8" t="s">
        <v>49</v>
      </c>
      <c r="E84" s="8" t="s">
        <v>1142</v>
      </c>
      <c r="F84" s="8" t="s">
        <v>300</v>
      </c>
      <c r="G84" s="8" t="s">
        <v>80</v>
      </c>
      <c r="H84" s="8" t="s">
        <v>1191</v>
      </c>
      <c r="I84" s="8"/>
      <c r="J84" s="8" t="s">
        <v>1192</v>
      </c>
      <c r="K84" s="8" t="s">
        <v>301</v>
      </c>
      <c r="L84" s="49" t="s">
        <v>302</v>
      </c>
      <c r="M84" s="8"/>
      <c r="N84" s="8"/>
      <c r="O84" s="8"/>
      <c r="P84" s="8"/>
      <c r="Q84" s="8" t="s">
        <v>55</v>
      </c>
      <c r="R84" s="8" t="s">
        <v>56</v>
      </c>
      <c r="S84" s="8" t="s">
        <v>72</v>
      </c>
      <c r="T84" s="8" t="s">
        <v>1150</v>
      </c>
      <c r="U84" s="8" t="s">
        <v>1150</v>
      </c>
      <c r="V84" s="8" t="s">
        <v>212</v>
      </c>
      <c r="W84" s="8" t="s">
        <v>1145</v>
      </c>
    </row>
    <row r="85" spans="1:23" x14ac:dyDescent="0.2">
      <c r="A85" s="8" t="s">
        <v>429</v>
      </c>
      <c r="B85" s="8" t="s">
        <v>47</v>
      </c>
      <c r="C85" s="8" t="s">
        <v>430</v>
      </c>
      <c r="D85" s="8" t="s">
        <v>49</v>
      </c>
      <c r="E85" s="8" t="s">
        <v>1146</v>
      </c>
      <c r="F85" s="8" t="s">
        <v>300</v>
      </c>
      <c r="G85" s="8" t="s">
        <v>80</v>
      </c>
      <c r="H85" s="8" t="s">
        <v>431</v>
      </c>
      <c r="I85" s="8"/>
      <c r="J85" s="8" t="s">
        <v>1193</v>
      </c>
      <c r="K85" s="8" t="s">
        <v>290</v>
      </c>
      <c r="L85" s="49" t="s">
        <v>309</v>
      </c>
      <c r="M85" s="8"/>
      <c r="N85" s="8"/>
      <c r="O85" s="8"/>
      <c r="P85" s="8"/>
      <c r="Q85" s="8" t="s">
        <v>55</v>
      </c>
      <c r="R85" s="8" t="s">
        <v>56</v>
      </c>
      <c r="S85" s="8" t="s">
        <v>72</v>
      </c>
      <c r="T85" s="8" t="s">
        <v>1126</v>
      </c>
      <c r="U85" s="8" t="s">
        <v>1126</v>
      </c>
      <c r="V85" s="8" t="s">
        <v>212</v>
      </c>
      <c r="W85" s="8" t="s">
        <v>1145</v>
      </c>
    </row>
    <row r="86" spans="1:23" x14ac:dyDescent="0.2">
      <c r="A86" s="8" t="s">
        <v>432</v>
      </c>
      <c r="B86" s="8" t="s">
        <v>47</v>
      </c>
      <c r="C86" s="8" t="s">
        <v>433</v>
      </c>
      <c r="D86" s="8" t="s">
        <v>49</v>
      </c>
      <c r="E86" s="8" t="s">
        <v>1148</v>
      </c>
      <c r="F86" s="8" t="s">
        <v>300</v>
      </c>
      <c r="G86" s="8" t="s">
        <v>80</v>
      </c>
      <c r="H86" s="8" t="s">
        <v>1194</v>
      </c>
      <c r="I86" s="8"/>
      <c r="J86" s="8"/>
      <c r="K86" s="8" t="s">
        <v>314</v>
      </c>
      <c r="L86" s="49" t="s">
        <v>291</v>
      </c>
      <c r="M86" s="8"/>
      <c r="N86" s="8"/>
      <c r="O86" s="8"/>
      <c r="P86" s="8"/>
      <c r="Q86" s="8" t="s">
        <v>55</v>
      </c>
      <c r="R86" s="8" t="s">
        <v>56</v>
      </c>
      <c r="S86" s="8" t="s">
        <v>72</v>
      </c>
      <c r="T86" s="8" t="s">
        <v>1150</v>
      </c>
      <c r="U86" s="8" t="s">
        <v>1150</v>
      </c>
      <c r="V86" s="8" t="s">
        <v>1150</v>
      </c>
      <c r="W86" s="8" t="s">
        <v>1145</v>
      </c>
    </row>
    <row r="87" spans="1:23" x14ac:dyDescent="0.2">
      <c r="A87" s="8" t="s">
        <v>434</v>
      </c>
      <c r="B87" s="8" t="s">
        <v>47</v>
      </c>
      <c r="C87" s="8" t="s">
        <v>435</v>
      </c>
      <c r="D87" s="8" t="s">
        <v>49</v>
      </c>
      <c r="E87" s="8" t="s">
        <v>1195</v>
      </c>
      <c r="F87" s="8" t="s">
        <v>437</v>
      </c>
      <c r="G87" s="8" t="s">
        <v>1</v>
      </c>
      <c r="H87" s="8"/>
      <c r="I87" s="8"/>
      <c r="J87" s="8"/>
      <c r="K87" s="8" t="s">
        <v>438</v>
      </c>
      <c r="L87" s="49" t="s">
        <v>439</v>
      </c>
      <c r="M87" s="8"/>
      <c r="N87" s="8"/>
      <c r="O87" s="8"/>
      <c r="P87" s="8"/>
      <c r="Q87" s="8" t="s">
        <v>55</v>
      </c>
      <c r="R87" s="8" t="s">
        <v>56</v>
      </c>
      <c r="S87" s="8" t="s">
        <v>47</v>
      </c>
      <c r="T87" s="8" t="s">
        <v>1196</v>
      </c>
      <c r="U87" s="8" t="s">
        <v>1196</v>
      </c>
      <c r="V87" s="8" t="s">
        <v>1196</v>
      </c>
      <c r="W87" s="8"/>
    </row>
    <row r="88" spans="1:23" x14ac:dyDescent="0.2">
      <c r="A88" s="8" t="s">
        <v>443</v>
      </c>
      <c r="B88" s="8" t="s">
        <v>47</v>
      </c>
      <c r="C88" s="8" t="s">
        <v>444</v>
      </c>
      <c r="D88" s="8" t="s">
        <v>49</v>
      </c>
      <c r="E88" s="8" t="s">
        <v>1163</v>
      </c>
      <c r="F88" s="8" t="s">
        <v>240</v>
      </c>
      <c r="G88" s="8" t="s">
        <v>73</v>
      </c>
      <c r="H88" s="8" t="s">
        <v>1197</v>
      </c>
      <c r="I88" s="8"/>
      <c r="J88" s="8"/>
      <c r="K88" s="8" t="s">
        <v>445</v>
      </c>
      <c r="L88" s="49" t="s">
        <v>439</v>
      </c>
      <c r="M88" s="8"/>
      <c r="N88" s="8"/>
      <c r="O88" s="8"/>
      <c r="P88" s="8"/>
      <c r="Q88" s="8" t="s">
        <v>55</v>
      </c>
      <c r="R88" s="8" t="s">
        <v>56</v>
      </c>
      <c r="S88" s="8" t="s">
        <v>72</v>
      </c>
      <c r="T88" s="8" t="s">
        <v>1196</v>
      </c>
      <c r="U88" s="8" t="s">
        <v>1196</v>
      </c>
      <c r="V88" s="8" t="s">
        <v>1196</v>
      </c>
      <c r="W88" s="8" t="s">
        <v>1165</v>
      </c>
    </row>
    <row r="89" spans="1:23" x14ac:dyDescent="0.2">
      <c r="A89" s="8" t="s">
        <v>446</v>
      </c>
      <c r="B89" s="8" t="s">
        <v>47</v>
      </c>
      <c r="C89" s="8" t="s">
        <v>447</v>
      </c>
      <c r="D89" s="8" t="s">
        <v>49</v>
      </c>
      <c r="E89" s="8" t="s">
        <v>1166</v>
      </c>
      <c r="F89" s="8" t="s">
        <v>240</v>
      </c>
      <c r="G89" s="8" t="s">
        <v>73</v>
      </c>
      <c r="H89" s="8" t="s">
        <v>1197</v>
      </c>
      <c r="I89" s="8"/>
      <c r="J89" s="8"/>
      <c r="K89" s="8" t="s">
        <v>445</v>
      </c>
      <c r="L89" s="49" t="s">
        <v>439</v>
      </c>
      <c r="M89" s="8"/>
      <c r="N89" s="8"/>
      <c r="O89" s="8"/>
      <c r="P89" s="8"/>
      <c r="Q89" s="8" t="s">
        <v>55</v>
      </c>
      <c r="R89" s="8" t="s">
        <v>56</v>
      </c>
      <c r="S89" s="8" t="s">
        <v>72</v>
      </c>
      <c r="T89" s="8" t="s">
        <v>1196</v>
      </c>
      <c r="U89" s="8" t="s">
        <v>1196</v>
      </c>
      <c r="V89" s="8" t="s">
        <v>1196</v>
      </c>
      <c r="W89" s="8" t="s">
        <v>1165</v>
      </c>
    </row>
    <row r="90" spans="1:23" x14ac:dyDescent="0.2">
      <c r="A90" s="8" t="s">
        <v>448</v>
      </c>
      <c r="B90" s="8" t="s">
        <v>47</v>
      </c>
      <c r="C90" s="8" t="s">
        <v>449</v>
      </c>
      <c r="D90" s="8" t="s">
        <v>49</v>
      </c>
      <c r="E90" s="8" t="s">
        <v>1167</v>
      </c>
      <c r="F90" s="8" t="s">
        <v>347</v>
      </c>
      <c r="G90" s="8" t="s">
        <v>73</v>
      </c>
      <c r="H90" s="8" t="s">
        <v>1198</v>
      </c>
      <c r="I90" s="8"/>
      <c r="J90" s="8" t="s">
        <v>1199</v>
      </c>
      <c r="K90" s="8" t="s">
        <v>438</v>
      </c>
      <c r="L90" s="49" t="s">
        <v>450</v>
      </c>
      <c r="M90" s="8"/>
      <c r="N90" s="8"/>
      <c r="O90" s="8"/>
      <c r="P90" s="8"/>
      <c r="Q90" s="8" t="s">
        <v>55</v>
      </c>
      <c r="R90" s="8" t="s">
        <v>56</v>
      </c>
      <c r="S90" s="8" t="s">
        <v>72</v>
      </c>
      <c r="T90" s="8" t="s">
        <v>1196</v>
      </c>
      <c r="U90" s="8" t="s">
        <v>1196</v>
      </c>
      <c r="V90" s="8" t="s">
        <v>212</v>
      </c>
      <c r="W90" s="8" t="s">
        <v>1165</v>
      </c>
    </row>
    <row r="91" spans="1:23" x14ac:dyDescent="0.2">
      <c r="A91" s="8" t="s">
        <v>453</v>
      </c>
      <c r="B91" s="8" t="s">
        <v>47</v>
      </c>
      <c r="C91" s="8" t="s">
        <v>454</v>
      </c>
      <c r="D91" s="8" t="s">
        <v>49</v>
      </c>
      <c r="E91" s="8" t="s">
        <v>1170</v>
      </c>
      <c r="F91" s="8" t="s">
        <v>347</v>
      </c>
      <c r="G91" s="8" t="s">
        <v>73</v>
      </c>
      <c r="H91" s="8" t="s">
        <v>1198</v>
      </c>
      <c r="I91" s="8"/>
      <c r="J91" s="8"/>
      <c r="K91" s="8" t="s">
        <v>438</v>
      </c>
      <c r="L91" s="49" t="s">
        <v>450</v>
      </c>
      <c r="M91" s="8"/>
      <c r="N91" s="8"/>
      <c r="O91" s="8"/>
      <c r="P91" s="8"/>
      <c r="Q91" s="8" t="s">
        <v>55</v>
      </c>
      <c r="R91" s="8" t="s">
        <v>56</v>
      </c>
      <c r="S91" s="8" t="s">
        <v>72</v>
      </c>
      <c r="T91" s="8" t="s">
        <v>1200</v>
      </c>
      <c r="U91" s="8" t="s">
        <v>1200</v>
      </c>
      <c r="V91" s="8" t="s">
        <v>1200</v>
      </c>
      <c r="W91" s="8" t="s">
        <v>1165</v>
      </c>
    </row>
    <row r="92" spans="1:23" x14ac:dyDescent="0.2">
      <c r="A92" s="8" t="s">
        <v>455</v>
      </c>
      <c r="B92" s="8" t="s">
        <v>47</v>
      </c>
      <c r="C92" s="8" t="s">
        <v>456</v>
      </c>
      <c r="D92" s="8" t="s">
        <v>49</v>
      </c>
      <c r="E92" s="8" t="s">
        <v>1172</v>
      </c>
      <c r="F92" s="8" t="s">
        <v>347</v>
      </c>
      <c r="G92" s="8" t="s">
        <v>73</v>
      </c>
      <c r="H92" s="8" t="s">
        <v>1198</v>
      </c>
      <c r="I92" s="8"/>
      <c r="J92" s="8"/>
      <c r="K92" s="8" t="s">
        <v>438</v>
      </c>
      <c r="L92" s="49" t="s">
        <v>450</v>
      </c>
      <c r="M92" s="8"/>
      <c r="N92" s="8"/>
      <c r="O92" s="8"/>
      <c r="P92" s="8"/>
      <c r="Q92" s="8" t="s">
        <v>55</v>
      </c>
      <c r="R92" s="8" t="s">
        <v>56</v>
      </c>
      <c r="S92" s="8" t="s">
        <v>72</v>
      </c>
      <c r="T92" s="8" t="s">
        <v>1200</v>
      </c>
      <c r="U92" s="8" t="s">
        <v>1200</v>
      </c>
      <c r="V92" s="8" t="s">
        <v>1200</v>
      </c>
      <c r="W92" s="8" t="s">
        <v>1165</v>
      </c>
    </row>
    <row r="93" spans="1:23" x14ac:dyDescent="0.2">
      <c r="A93" s="8" t="s">
        <v>457</v>
      </c>
      <c r="B93" s="8" t="s">
        <v>47</v>
      </c>
      <c r="C93" s="8" t="s">
        <v>458</v>
      </c>
      <c r="D93" s="8" t="s">
        <v>49</v>
      </c>
      <c r="E93" s="8" t="s">
        <v>1201</v>
      </c>
      <c r="F93" s="8" t="s">
        <v>460</v>
      </c>
      <c r="G93" s="8" t="s">
        <v>1</v>
      </c>
      <c r="H93" s="8" t="s">
        <v>461</v>
      </c>
      <c r="I93" s="8"/>
      <c r="J93" s="8" t="s">
        <v>1202</v>
      </c>
      <c r="K93" s="8" t="s">
        <v>371</v>
      </c>
      <c r="L93" s="49" t="s">
        <v>462</v>
      </c>
      <c r="M93" s="8"/>
      <c r="N93" s="8"/>
      <c r="O93" s="8"/>
      <c r="P93" s="8"/>
      <c r="Q93" s="8" t="s">
        <v>55</v>
      </c>
      <c r="R93" s="8" t="s">
        <v>56</v>
      </c>
      <c r="S93" s="8" t="s">
        <v>72</v>
      </c>
      <c r="T93" s="8" t="s">
        <v>212</v>
      </c>
      <c r="U93" s="8" t="s">
        <v>212</v>
      </c>
      <c r="V93" s="8" t="s">
        <v>212</v>
      </c>
      <c r="W93" s="8" t="s">
        <v>1134</v>
      </c>
    </row>
    <row r="94" spans="1:23" x14ac:dyDescent="0.2">
      <c r="A94" s="8" t="s">
        <v>464</v>
      </c>
      <c r="B94" s="8" t="s">
        <v>47</v>
      </c>
      <c r="C94" s="8" t="s">
        <v>465</v>
      </c>
      <c r="D94" s="8" t="s">
        <v>49</v>
      </c>
      <c r="E94" s="8" t="s">
        <v>1203</v>
      </c>
      <c r="F94" s="8" t="s">
        <v>467</v>
      </c>
      <c r="G94" s="8" t="s">
        <v>57</v>
      </c>
      <c r="H94" s="8"/>
      <c r="I94" s="8"/>
      <c r="J94" s="8"/>
      <c r="K94" s="8" t="s">
        <v>290</v>
      </c>
      <c r="L94" s="49" t="s">
        <v>468</v>
      </c>
      <c r="M94" s="8"/>
      <c r="N94" s="8"/>
      <c r="O94" s="8"/>
      <c r="P94" s="8"/>
      <c r="Q94" s="8" t="s">
        <v>55</v>
      </c>
      <c r="R94" s="8" t="s">
        <v>56</v>
      </c>
      <c r="S94" s="8" t="s">
        <v>47</v>
      </c>
      <c r="T94" s="8" t="s">
        <v>1126</v>
      </c>
      <c r="U94" s="8" t="s">
        <v>1204</v>
      </c>
      <c r="V94" s="8" t="s">
        <v>1204</v>
      </c>
      <c r="W94" s="8"/>
    </row>
    <row r="95" spans="1:23" x14ac:dyDescent="0.2">
      <c r="A95" s="8" t="s">
        <v>470</v>
      </c>
      <c r="B95" s="8" t="s">
        <v>47</v>
      </c>
      <c r="C95" s="8" t="s">
        <v>471</v>
      </c>
      <c r="D95" s="8" t="s">
        <v>49</v>
      </c>
      <c r="E95" s="8" t="s">
        <v>1205</v>
      </c>
      <c r="F95" s="8" t="s">
        <v>194</v>
      </c>
      <c r="G95" s="8" t="s">
        <v>1</v>
      </c>
      <c r="H95" s="8" t="s">
        <v>457</v>
      </c>
      <c r="I95" s="8">
        <v>152</v>
      </c>
      <c r="J95" s="8" t="s">
        <v>1206</v>
      </c>
      <c r="K95" s="8" t="s">
        <v>473</v>
      </c>
      <c r="L95" s="49" t="s">
        <v>474</v>
      </c>
      <c r="M95" s="8"/>
      <c r="N95" s="8"/>
      <c r="O95" s="8"/>
      <c r="P95" s="8"/>
      <c r="Q95" s="8" t="s">
        <v>55</v>
      </c>
      <c r="R95" s="8" t="s">
        <v>56</v>
      </c>
      <c r="S95" s="8" t="s">
        <v>72</v>
      </c>
      <c r="T95" s="8" t="s">
        <v>212</v>
      </c>
      <c r="U95" s="8" t="s">
        <v>212</v>
      </c>
      <c r="V95" s="8" t="s">
        <v>212</v>
      </c>
      <c r="W95" s="8" t="s">
        <v>1129</v>
      </c>
    </row>
    <row r="96" spans="1:23" x14ac:dyDescent="0.2">
      <c r="A96" s="8" t="s">
        <v>477</v>
      </c>
      <c r="B96" s="8" t="s">
        <v>47</v>
      </c>
      <c r="C96" s="8" t="s">
        <v>478</v>
      </c>
      <c r="D96" s="8" t="s">
        <v>49</v>
      </c>
      <c r="E96" s="8" t="s">
        <v>1207</v>
      </c>
      <c r="F96" s="8" t="s">
        <v>480</v>
      </c>
      <c r="G96" s="8" t="s">
        <v>1</v>
      </c>
      <c r="H96" s="8"/>
      <c r="I96" s="8"/>
      <c r="J96" s="8"/>
      <c r="K96" s="8" t="s">
        <v>266</v>
      </c>
      <c r="L96" s="49" t="s">
        <v>481</v>
      </c>
      <c r="M96" s="8"/>
      <c r="N96" s="8"/>
      <c r="O96" s="8"/>
      <c r="P96" s="8"/>
      <c r="Q96" s="8" t="s">
        <v>55</v>
      </c>
      <c r="R96" s="8" t="s">
        <v>56</v>
      </c>
      <c r="S96" s="8" t="s">
        <v>47</v>
      </c>
      <c r="T96" s="8" t="s">
        <v>1126</v>
      </c>
      <c r="U96" s="8" t="s">
        <v>1208</v>
      </c>
      <c r="V96" s="8" t="s">
        <v>1208</v>
      </c>
      <c r="W96" s="8"/>
    </row>
    <row r="97" spans="1:23" x14ac:dyDescent="0.2">
      <c r="A97" s="8" t="s">
        <v>483</v>
      </c>
      <c r="B97" s="8" t="s">
        <v>47</v>
      </c>
      <c r="C97" s="8" t="s">
        <v>484</v>
      </c>
      <c r="D97" s="8" t="s">
        <v>49</v>
      </c>
      <c r="E97" s="8" t="s">
        <v>1132</v>
      </c>
      <c r="F97" s="8" t="s">
        <v>194</v>
      </c>
      <c r="G97" s="8" t="s">
        <v>73</v>
      </c>
      <c r="H97" s="8" t="s">
        <v>485</v>
      </c>
      <c r="I97" s="8"/>
      <c r="J97" s="8"/>
      <c r="K97" s="8" t="s">
        <v>486</v>
      </c>
      <c r="L97" s="49" t="s">
        <v>481</v>
      </c>
      <c r="M97" s="8"/>
      <c r="N97" s="8"/>
      <c r="O97" s="8"/>
      <c r="P97" s="8"/>
      <c r="Q97" s="8" t="s">
        <v>55</v>
      </c>
      <c r="R97" s="8" t="s">
        <v>56</v>
      </c>
      <c r="S97" s="8" t="s">
        <v>72</v>
      </c>
      <c r="T97" s="8" t="s">
        <v>1208</v>
      </c>
      <c r="U97" s="8" t="s">
        <v>1208</v>
      </c>
      <c r="V97" s="8" t="s">
        <v>1208</v>
      </c>
      <c r="W97" s="8" t="s">
        <v>1134</v>
      </c>
    </row>
    <row r="98" spans="1:23" x14ac:dyDescent="0.2">
      <c r="A98" s="8" t="s">
        <v>488</v>
      </c>
      <c r="B98" s="8" t="s">
        <v>47</v>
      </c>
      <c r="C98" s="8" t="s">
        <v>489</v>
      </c>
      <c r="D98" s="8" t="s">
        <v>49</v>
      </c>
      <c r="E98" s="8" t="s">
        <v>1135</v>
      </c>
      <c r="F98" s="8" t="s">
        <v>240</v>
      </c>
      <c r="G98" s="8" t="s">
        <v>73</v>
      </c>
      <c r="H98" s="8" t="s">
        <v>1209</v>
      </c>
      <c r="I98" s="8"/>
      <c r="J98" s="8" t="s">
        <v>490</v>
      </c>
      <c r="K98" s="8" t="s">
        <v>491</v>
      </c>
      <c r="L98" s="49" t="s">
        <v>492</v>
      </c>
      <c r="M98" s="8"/>
      <c r="N98" s="8"/>
      <c r="O98" s="8"/>
      <c r="P98" s="8"/>
      <c r="Q98" s="8" t="s">
        <v>55</v>
      </c>
      <c r="R98" s="8" t="s">
        <v>56</v>
      </c>
      <c r="S98" s="8" t="s">
        <v>72</v>
      </c>
      <c r="T98" s="8" t="s">
        <v>1208</v>
      </c>
      <c r="U98" s="8" t="s">
        <v>1208</v>
      </c>
      <c r="V98" s="8" t="s">
        <v>212</v>
      </c>
      <c r="W98" s="8" t="s">
        <v>1129</v>
      </c>
    </row>
    <row r="99" spans="1:23" x14ac:dyDescent="0.2">
      <c r="A99" s="8" t="s">
        <v>495</v>
      </c>
      <c r="B99" s="8" t="s">
        <v>47</v>
      </c>
      <c r="C99" s="8" t="s">
        <v>496</v>
      </c>
      <c r="D99" s="8" t="s">
        <v>49</v>
      </c>
      <c r="E99" s="8" t="s">
        <v>1137</v>
      </c>
      <c r="F99" s="8" t="s">
        <v>194</v>
      </c>
      <c r="G99" s="8" t="s">
        <v>73</v>
      </c>
      <c r="H99" s="8" t="s">
        <v>1209</v>
      </c>
      <c r="I99" s="8"/>
      <c r="J99" s="8" t="s">
        <v>497</v>
      </c>
      <c r="K99" s="8" t="s">
        <v>491</v>
      </c>
      <c r="L99" s="49" t="s">
        <v>498</v>
      </c>
      <c r="M99" s="8"/>
      <c r="N99" s="8"/>
      <c r="O99" s="8"/>
      <c r="P99" s="8"/>
      <c r="Q99" s="8" t="s">
        <v>55</v>
      </c>
      <c r="R99" s="8" t="s">
        <v>56</v>
      </c>
      <c r="S99" s="8" t="s">
        <v>72</v>
      </c>
      <c r="T99" s="8" t="s">
        <v>1208</v>
      </c>
      <c r="U99" s="8" t="s">
        <v>1208</v>
      </c>
      <c r="V99" s="8" t="s">
        <v>212</v>
      </c>
      <c r="W99" s="8" t="s">
        <v>1129</v>
      </c>
    </row>
    <row r="100" spans="1:23" x14ac:dyDescent="0.2">
      <c r="A100" s="8" t="s">
        <v>500</v>
      </c>
      <c r="B100" s="8" t="s">
        <v>47</v>
      </c>
      <c r="C100" s="8" t="s">
        <v>501</v>
      </c>
      <c r="D100" s="8" t="s">
        <v>49</v>
      </c>
      <c r="E100" s="8" t="s">
        <v>1138</v>
      </c>
      <c r="F100" s="8" t="s">
        <v>194</v>
      </c>
      <c r="G100" s="8" t="s">
        <v>73</v>
      </c>
      <c r="H100" s="8" t="s">
        <v>495</v>
      </c>
      <c r="I100" s="8"/>
      <c r="J100" s="8" t="s">
        <v>490</v>
      </c>
      <c r="K100" s="8" t="s">
        <v>502</v>
      </c>
      <c r="L100" s="49" t="s">
        <v>492</v>
      </c>
      <c r="M100" s="8"/>
      <c r="N100" s="8"/>
      <c r="O100" s="8"/>
      <c r="P100" s="8"/>
      <c r="Q100" s="8" t="s">
        <v>55</v>
      </c>
      <c r="R100" s="8" t="s">
        <v>56</v>
      </c>
      <c r="S100" s="8" t="s">
        <v>72</v>
      </c>
      <c r="T100" s="8" t="s">
        <v>1208</v>
      </c>
      <c r="U100" s="8" t="s">
        <v>1208</v>
      </c>
      <c r="V100" s="8" t="s">
        <v>212</v>
      </c>
      <c r="W100" s="8" t="s">
        <v>1134</v>
      </c>
    </row>
    <row r="101" spans="1:23" x14ac:dyDescent="0.2">
      <c r="A101" s="8" t="s">
        <v>504</v>
      </c>
      <c r="B101" s="8" t="s">
        <v>47</v>
      </c>
      <c r="C101" s="8" t="s">
        <v>505</v>
      </c>
      <c r="D101" s="8" t="s">
        <v>49</v>
      </c>
      <c r="E101" s="8" t="s">
        <v>1139</v>
      </c>
      <c r="F101" s="8" t="s">
        <v>194</v>
      </c>
      <c r="G101" s="8" t="s">
        <v>73</v>
      </c>
      <c r="H101" s="8" t="s">
        <v>495</v>
      </c>
      <c r="I101" s="8"/>
      <c r="J101" s="8" t="s">
        <v>490</v>
      </c>
      <c r="K101" s="8" t="s">
        <v>502</v>
      </c>
      <c r="L101" s="49" t="s">
        <v>492</v>
      </c>
      <c r="M101" s="8"/>
      <c r="N101" s="8"/>
      <c r="O101" s="8"/>
      <c r="P101" s="8"/>
      <c r="Q101" s="8" t="s">
        <v>55</v>
      </c>
      <c r="R101" s="8" t="s">
        <v>56</v>
      </c>
      <c r="S101" s="8" t="s">
        <v>72</v>
      </c>
      <c r="T101" s="8" t="s">
        <v>1208</v>
      </c>
      <c r="U101" s="8" t="s">
        <v>1208</v>
      </c>
      <c r="V101" s="8" t="s">
        <v>212</v>
      </c>
      <c r="W101" s="8" t="s">
        <v>1129</v>
      </c>
    </row>
    <row r="102" spans="1:23" x14ac:dyDescent="0.2">
      <c r="A102" s="8" t="s">
        <v>506</v>
      </c>
      <c r="B102" s="8" t="s">
        <v>47</v>
      </c>
      <c r="C102" s="8" t="s">
        <v>507</v>
      </c>
      <c r="D102" s="8" t="s">
        <v>49</v>
      </c>
      <c r="E102" s="8" t="s">
        <v>1140</v>
      </c>
      <c r="F102" s="8" t="s">
        <v>194</v>
      </c>
      <c r="G102" s="8" t="s">
        <v>73</v>
      </c>
      <c r="H102" s="8" t="s">
        <v>485</v>
      </c>
      <c r="I102" s="8"/>
      <c r="J102" s="8"/>
      <c r="K102" s="8" t="s">
        <v>486</v>
      </c>
      <c r="L102" s="49" t="s">
        <v>481</v>
      </c>
      <c r="M102" s="8"/>
      <c r="N102" s="8"/>
      <c r="O102" s="8"/>
      <c r="P102" s="8"/>
      <c r="Q102" s="8" t="s">
        <v>55</v>
      </c>
      <c r="R102" s="8" t="s">
        <v>56</v>
      </c>
      <c r="S102" s="8" t="s">
        <v>72</v>
      </c>
      <c r="T102" s="8" t="s">
        <v>1208</v>
      </c>
      <c r="U102" s="8" t="s">
        <v>1208</v>
      </c>
      <c r="V102" s="8" t="s">
        <v>1208</v>
      </c>
      <c r="W102" s="8" t="s">
        <v>1129</v>
      </c>
    </row>
    <row r="103" spans="1:23" x14ac:dyDescent="0.2">
      <c r="A103" s="8" t="s">
        <v>508</v>
      </c>
      <c r="B103" s="8" t="s">
        <v>47</v>
      </c>
      <c r="C103" s="8" t="s">
        <v>509</v>
      </c>
      <c r="D103" s="8" t="s">
        <v>49</v>
      </c>
      <c r="E103" s="8" t="s">
        <v>1141</v>
      </c>
      <c r="F103" s="8" t="s">
        <v>265</v>
      </c>
      <c r="G103" s="8" t="s">
        <v>73</v>
      </c>
      <c r="H103" s="8"/>
      <c r="I103" s="8"/>
      <c r="J103" s="8"/>
      <c r="K103" s="8" t="s">
        <v>266</v>
      </c>
      <c r="L103" s="49" t="s">
        <v>217</v>
      </c>
      <c r="M103" s="8"/>
      <c r="N103" s="8"/>
      <c r="O103" s="8"/>
      <c r="P103" s="8"/>
      <c r="Q103" s="8" t="s">
        <v>55</v>
      </c>
      <c r="R103" s="8" t="s">
        <v>56</v>
      </c>
      <c r="S103" s="8" t="s">
        <v>47</v>
      </c>
      <c r="T103" s="8" t="s">
        <v>1126</v>
      </c>
      <c r="U103" s="8" t="s">
        <v>1126</v>
      </c>
      <c r="V103" s="8" t="s">
        <v>1126</v>
      </c>
      <c r="W103" s="8"/>
    </row>
    <row r="104" spans="1:23" x14ac:dyDescent="0.2">
      <c r="A104" s="8" t="s">
        <v>510</v>
      </c>
      <c r="B104" s="8" t="s">
        <v>47</v>
      </c>
      <c r="C104" s="8" t="s">
        <v>511</v>
      </c>
      <c r="D104" s="8" t="s">
        <v>49</v>
      </c>
      <c r="E104" s="8" t="s">
        <v>1142</v>
      </c>
      <c r="F104" s="8" t="s">
        <v>83</v>
      </c>
      <c r="G104" s="8" t="s">
        <v>80</v>
      </c>
      <c r="H104" s="8" t="s">
        <v>1210</v>
      </c>
      <c r="I104" s="8"/>
      <c r="J104" s="8" t="s">
        <v>1211</v>
      </c>
      <c r="K104" s="8" t="s">
        <v>270</v>
      </c>
      <c r="L104" s="49" t="s">
        <v>271</v>
      </c>
      <c r="M104" s="8"/>
      <c r="N104" s="8"/>
      <c r="O104" s="8"/>
      <c r="P104" s="8"/>
      <c r="Q104" s="8" t="s">
        <v>55</v>
      </c>
      <c r="R104" s="8" t="s">
        <v>56</v>
      </c>
      <c r="S104" s="8" t="s">
        <v>72</v>
      </c>
      <c r="T104" s="8" t="s">
        <v>1126</v>
      </c>
      <c r="U104" s="8" t="s">
        <v>1126</v>
      </c>
      <c r="V104" s="8" t="s">
        <v>212</v>
      </c>
      <c r="W104" s="8" t="s">
        <v>1145</v>
      </c>
    </row>
    <row r="105" spans="1:23" x14ac:dyDescent="0.2">
      <c r="A105" s="8" t="s">
        <v>512</v>
      </c>
      <c r="B105" s="8" t="s">
        <v>47</v>
      </c>
      <c r="C105" s="8" t="s">
        <v>513</v>
      </c>
      <c r="D105" s="8" t="s">
        <v>49</v>
      </c>
      <c r="E105" s="8" t="s">
        <v>1146</v>
      </c>
      <c r="F105" s="8" t="s">
        <v>83</v>
      </c>
      <c r="G105" s="8" t="s">
        <v>80</v>
      </c>
      <c r="H105" s="8" t="s">
        <v>514</v>
      </c>
      <c r="I105" s="8"/>
      <c r="J105" s="8" t="s">
        <v>1212</v>
      </c>
      <c r="K105" s="8" t="s">
        <v>266</v>
      </c>
      <c r="L105" s="49" t="s">
        <v>279</v>
      </c>
      <c r="M105" s="8"/>
      <c r="N105" s="8"/>
      <c r="O105" s="8"/>
      <c r="P105" s="8"/>
      <c r="Q105" s="8" t="s">
        <v>55</v>
      </c>
      <c r="R105" s="8" t="s">
        <v>56</v>
      </c>
      <c r="S105" s="8" t="s">
        <v>72</v>
      </c>
      <c r="T105" s="8" t="s">
        <v>1126</v>
      </c>
      <c r="U105" s="8" t="s">
        <v>1126</v>
      </c>
      <c r="V105" s="8" t="s">
        <v>212</v>
      </c>
      <c r="W105" s="8" t="s">
        <v>1145</v>
      </c>
    </row>
    <row r="106" spans="1:23" x14ac:dyDescent="0.2">
      <c r="A106" s="8" t="s">
        <v>515</v>
      </c>
      <c r="B106" s="8" t="s">
        <v>47</v>
      </c>
      <c r="C106" s="8" t="s">
        <v>516</v>
      </c>
      <c r="D106" s="8" t="s">
        <v>49</v>
      </c>
      <c r="E106" s="8" t="s">
        <v>1148</v>
      </c>
      <c r="F106" s="8" t="s">
        <v>83</v>
      </c>
      <c r="G106" s="8" t="s">
        <v>80</v>
      </c>
      <c r="H106" s="8" t="s">
        <v>1212</v>
      </c>
      <c r="I106" s="8"/>
      <c r="J106" s="8"/>
      <c r="K106" s="8" t="s">
        <v>284</v>
      </c>
      <c r="L106" s="49" t="s">
        <v>217</v>
      </c>
      <c r="M106" s="8"/>
      <c r="N106" s="8"/>
      <c r="O106" s="8"/>
      <c r="P106" s="8"/>
      <c r="Q106" s="8" t="s">
        <v>55</v>
      </c>
      <c r="R106" s="8" t="s">
        <v>56</v>
      </c>
      <c r="S106" s="8" t="s">
        <v>72</v>
      </c>
      <c r="T106" s="8" t="s">
        <v>1126</v>
      </c>
      <c r="U106" s="8" t="s">
        <v>1126</v>
      </c>
      <c r="V106" s="8" t="s">
        <v>1126</v>
      </c>
      <c r="W106" s="8" t="s">
        <v>1145</v>
      </c>
    </row>
    <row r="107" spans="1:23" x14ac:dyDescent="0.2">
      <c r="A107" s="8" t="s">
        <v>517</v>
      </c>
      <c r="B107" s="8" t="s">
        <v>47</v>
      </c>
      <c r="C107" s="8" t="s">
        <v>518</v>
      </c>
      <c r="D107" s="8" t="s">
        <v>49</v>
      </c>
      <c r="E107" s="8" t="s">
        <v>1213</v>
      </c>
      <c r="F107" s="8" t="s">
        <v>289</v>
      </c>
      <c r="G107" s="8" t="s">
        <v>1</v>
      </c>
      <c r="H107" s="8"/>
      <c r="I107" s="8"/>
      <c r="J107" s="8"/>
      <c r="K107" s="8" t="s">
        <v>290</v>
      </c>
      <c r="L107" s="49" t="s">
        <v>291</v>
      </c>
      <c r="M107" s="8"/>
      <c r="N107" s="8"/>
      <c r="O107" s="8"/>
      <c r="P107" s="8"/>
      <c r="Q107" s="8" t="s">
        <v>55</v>
      </c>
      <c r="R107" s="8" t="s">
        <v>56</v>
      </c>
      <c r="S107" s="8" t="s">
        <v>47</v>
      </c>
      <c r="T107" s="8" t="s">
        <v>1126</v>
      </c>
      <c r="U107" s="8" t="s">
        <v>1150</v>
      </c>
      <c r="V107" s="8" t="s">
        <v>1126</v>
      </c>
      <c r="W107" s="8"/>
    </row>
    <row r="108" spans="1:23" x14ac:dyDescent="0.2">
      <c r="A108" s="8" t="s">
        <v>520</v>
      </c>
      <c r="B108" s="8" t="s">
        <v>47</v>
      </c>
      <c r="C108" s="8" t="s">
        <v>521</v>
      </c>
      <c r="D108" s="8" t="s">
        <v>49</v>
      </c>
      <c r="E108" s="8" t="s">
        <v>1151</v>
      </c>
      <c r="F108" s="8" t="s">
        <v>289</v>
      </c>
      <c r="G108" s="8" t="s">
        <v>73</v>
      </c>
      <c r="H108" s="8"/>
      <c r="I108" s="8"/>
      <c r="J108" s="8"/>
      <c r="K108" s="8" t="s">
        <v>290</v>
      </c>
      <c r="L108" s="49" t="s">
        <v>291</v>
      </c>
      <c r="M108" s="8"/>
      <c r="N108" s="8"/>
      <c r="O108" s="8"/>
      <c r="P108" s="8"/>
      <c r="Q108" s="8" t="s">
        <v>55</v>
      </c>
      <c r="R108" s="8" t="s">
        <v>56</v>
      </c>
      <c r="S108" s="8" t="s">
        <v>47</v>
      </c>
      <c r="T108" s="8" t="s">
        <v>1126</v>
      </c>
      <c r="U108" s="8" t="s">
        <v>1150</v>
      </c>
      <c r="V108" s="8" t="s">
        <v>1126</v>
      </c>
      <c r="W108" s="8"/>
    </row>
    <row r="109" spans="1:23" x14ac:dyDescent="0.2">
      <c r="A109" s="8" t="s">
        <v>522</v>
      </c>
      <c r="B109" s="8" t="s">
        <v>47</v>
      </c>
      <c r="C109" s="8" t="s">
        <v>523</v>
      </c>
      <c r="D109" s="8" t="s">
        <v>49</v>
      </c>
      <c r="E109" s="8" t="s">
        <v>1142</v>
      </c>
      <c r="F109" s="8" t="s">
        <v>300</v>
      </c>
      <c r="G109" s="8" t="s">
        <v>80</v>
      </c>
      <c r="H109" s="8" t="s">
        <v>1214</v>
      </c>
      <c r="I109" s="8"/>
      <c r="J109" s="8" t="s">
        <v>1215</v>
      </c>
      <c r="K109" s="8" t="s">
        <v>301</v>
      </c>
      <c r="L109" s="49" t="s">
        <v>302</v>
      </c>
      <c r="M109" s="8"/>
      <c r="N109" s="8"/>
      <c r="O109" s="8"/>
      <c r="P109" s="8"/>
      <c r="Q109" s="8" t="s">
        <v>55</v>
      </c>
      <c r="R109" s="8" t="s">
        <v>56</v>
      </c>
      <c r="S109" s="8" t="s">
        <v>72</v>
      </c>
      <c r="T109" s="8" t="s">
        <v>1150</v>
      </c>
      <c r="U109" s="8" t="s">
        <v>1150</v>
      </c>
      <c r="V109" s="8" t="s">
        <v>212</v>
      </c>
      <c r="W109" s="8" t="s">
        <v>1145</v>
      </c>
    </row>
    <row r="110" spans="1:23" x14ac:dyDescent="0.2">
      <c r="A110" s="8" t="s">
        <v>524</v>
      </c>
      <c r="B110" s="8" t="s">
        <v>47</v>
      </c>
      <c r="C110" s="8" t="s">
        <v>525</v>
      </c>
      <c r="D110" s="8" t="s">
        <v>49</v>
      </c>
      <c r="E110" s="8" t="s">
        <v>1146</v>
      </c>
      <c r="F110" s="8" t="s">
        <v>300</v>
      </c>
      <c r="G110" s="8" t="s">
        <v>80</v>
      </c>
      <c r="H110" s="8" t="s">
        <v>219</v>
      </c>
      <c r="I110" s="8"/>
      <c r="J110" s="8" t="s">
        <v>1216</v>
      </c>
      <c r="K110" s="8" t="s">
        <v>290</v>
      </c>
      <c r="L110" s="49" t="s">
        <v>309</v>
      </c>
      <c r="M110" s="8"/>
      <c r="N110" s="8"/>
      <c r="O110" s="8"/>
      <c r="P110" s="8"/>
      <c r="Q110" s="8" t="s">
        <v>55</v>
      </c>
      <c r="R110" s="8" t="s">
        <v>56</v>
      </c>
      <c r="S110" s="8" t="s">
        <v>72</v>
      </c>
      <c r="T110" s="8" t="s">
        <v>1126</v>
      </c>
      <c r="U110" s="8" t="s">
        <v>1126</v>
      </c>
      <c r="V110" s="8" t="s">
        <v>212</v>
      </c>
      <c r="W110" s="8" t="s">
        <v>1145</v>
      </c>
    </row>
    <row r="111" spans="1:23" x14ac:dyDescent="0.2">
      <c r="A111" s="8" t="s">
        <v>526</v>
      </c>
      <c r="B111" s="8" t="s">
        <v>47</v>
      </c>
      <c r="C111" s="8" t="s">
        <v>527</v>
      </c>
      <c r="D111" s="8" t="s">
        <v>49</v>
      </c>
      <c r="E111" s="8" t="s">
        <v>1148</v>
      </c>
      <c r="F111" s="8" t="s">
        <v>300</v>
      </c>
      <c r="G111" s="8" t="s">
        <v>80</v>
      </c>
      <c r="H111" s="8" t="s">
        <v>1217</v>
      </c>
      <c r="I111" s="8"/>
      <c r="J111" s="8"/>
      <c r="K111" s="8" t="s">
        <v>314</v>
      </c>
      <c r="L111" s="49" t="s">
        <v>291</v>
      </c>
      <c r="M111" s="8"/>
      <c r="N111" s="8"/>
      <c r="O111" s="8"/>
      <c r="P111" s="8"/>
      <c r="Q111" s="8" t="s">
        <v>55</v>
      </c>
      <c r="R111" s="8" t="s">
        <v>56</v>
      </c>
      <c r="S111" s="8" t="s">
        <v>72</v>
      </c>
      <c r="T111" s="8" t="s">
        <v>1150</v>
      </c>
      <c r="U111" s="8" t="s">
        <v>1150</v>
      </c>
      <c r="V111" s="8" t="s">
        <v>1150</v>
      </c>
      <c r="W111" s="8" t="s">
        <v>1145</v>
      </c>
    </row>
    <row r="112" spans="1:23" x14ac:dyDescent="0.2">
      <c r="A112" s="8" t="s">
        <v>528</v>
      </c>
      <c r="B112" s="8" t="s">
        <v>47</v>
      </c>
      <c r="C112" s="8" t="s">
        <v>529</v>
      </c>
      <c r="D112" s="8" t="s">
        <v>49</v>
      </c>
      <c r="E112" s="8" t="s">
        <v>1156</v>
      </c>
      <c r="F112" s="8" t="s">
        <v>289</v>
      </c>
      <c r="G112" s="8" t="s">
        <v>73</v>
      </c>
      <c r="H112" s="8"/>
      <c r="I112" s="8"/>
      <c r="J112" s="8"/>
      <c r="K112" s="8" t="s">
        <v>290</v>
      </c>
      <c r="L112" s="49" t="s">
        <v>291</v>
      </c>
      <c r="M112" s="8"/>
      <c r="N112" s="8"/>
      <c r="O112" s="8"/>
      <c r="P112" s="8"/>
      <c r="Q112" s="8" t="s">
        <v>55</v>
      </c>
      <c r="R112" s="8" t="s">
        <v>56</v>
      </c>
      <c r="S112" s="8" t="s">
        <v>47</v>
      </c>
      <c r="T112" s="8" t="s">
        <v>1126</v>
      </c>
      <c r="U112" s="8" t="s">
        <v>1150</v>
      </c>
      <c r="V112" s="8" t="s">
        <v>1126</v>
      </c>
      <c r="W112" s="8"/>
    </row>
    <row r="113" spans="1:23" x14ac:dyDescent="0.2">
      <c r="A113" s="8" t="s">
        <v>531</v>
      </c>
      <c r="B113" s="8" t="s">
        <v>47</v>
      </c>
      <c r="C113" s="8" t="s">
        <v>532</v>
      </c>
      <c r="D113" s="8" t="s">
        <v>49</v>
      </c>
      <c r="E113" s="8" t="s">
        <v>1142</v>
      </c>
      <c r="F113" s="8" t="s">
        <v>300</v>
      </c>
      <c r="G113" s="8" t="s">
        <v>80</v>
      </c>
      <c r="H113" s="8" t="s">
        <v>1218</v>
      </c>
      <c r="I113" s="8"/>
      <c r="J113" s="8" t="s">
        <v>1219</v>
      </c>
      <c r="K113" s="8" t="s">
        <v>301</v>
      </c>
      <c r="L113" s="49" t="s">
        <v>302</v>
      </c>
      <c r="M113" s="8"/>
      <c r="N113" s="8"/>
      <c r="O113" s="8"/>
      <c r="P113" s="8"/>
      <c r="Q113" s="8" t="s">
        <v>55</v>
      </c>
      <c r="R113" s="8" t="s">
        <v>56</v>
      </c>
      <c r="S113" s="8" t="s">
        <v>72</v>
      </c>
      <c r="T113" s="8" t="s">
        <v>1150</v>
      </c>
      <c r="U113" s="8" t="s">
        <v>1150</v>
      </c>
      <c r="V113" s="8" t="s">
        <v>212</v>
      </c>
      <c r="W113" s="8" t="s">
        <v>1145</v>
      </c>
    </row>
    <row r="114" spans="1:23" x14ac:dyDescent="0.2">
      <c r="A114" s="8" t="s">
        <v>533</v>
      </c>
      <c r="B114" s="8" t="s">
        <v>47</v>
      </c>
      <c r="C114" s="8" t="s">
        <v>534</v>
      </c>
      <c r="D114" s="8" t="s">
        <v>49</v>
      </c>
      <c r="E114" s="8" t="s">
        <v>1146</v>
      </c>
      <c r="F114" s="8" t="s">
        <v>300</v>
      </c>
      <c r="G114" s="8" t="s">
        <v>80</v>
      </c>
      <c r="H114" s="8" t="s">
        <v>535</v>
      </c>
      <c r="I114" s="8"/>
      <c r="J114" s="8" t="s">
        <v>1220</v>
      </c>
      <c r="K114" s="8" t="s">
        <v>290</v>
      </c>
      <c r="L114" s="49" t="s">
        <v>309</v>
      </c>
      <c r="M114" s="8"/>
      <c r="N114" s="8"/>
      <c r="O114" s="8"/>
      <c r="P114" s="8"/>
      <c r="Q114" s="8" t="s">
        <v>55</v>
      </c>
      <c r="R114" s="8" t="s">
        <v>56</v>
      </c>
      <c r="S114" s="8" t="s">
        <v>72</v>
      </c>
      <c r="T114" s="8" t="s">
        <v>1126</v>
      </c>
      <c r="U114" s="8" t="s">
        <v>1126</v>
      </c>
      <c r="V114" s="8" t="s">
        <v>212</v>
      </c>
      <c r="W114" s="8" t="s">
        <v>1145</v>
      </c>
    </row>
    <row r="115" spans="1:23" x14ac:dyDescent="0.2">
      <c r="A115" s="8" t="s">
        <v>536</v>
      </c>
      <c r="B115" s="8" t="s">
        <v>47</v>
      </c>
      <c r="C115" s="8" t="s">
        <v>537</v>
      </c>
      <c r="D115" s="8" t="s">
        <v>49</v>
      </c>
      <c r="E115" s="8" t="s">
        <v>1148</v>
      </c>
      <c r="F115" s="8" t="s">
        <v>300</v>
      </c>
      <c r="G115" s="8" t="s">
        <v>80</v>
      </c>
      <c r="H115" s="8" t="s">
        <v>1221</v>
      </c>
      <c r="I115" s="8"/>
      <c r="J115" s="8"/>
      <c r="K115" s="8" t="s">
        <v>314</v>
      </c>
      <c r="L115" s="49" t="s">
        <v>291</v>
      </c>
      <c r="M115" s="8"/>
      <c r="N115" s="8"/>
      <c r="O115" s="8"/>
      <c r="P115" s="8"/>
      <c r="Q115" s="8" t="s">
        <v>55</v>
      </c>
      <c r="R115" s="8" t="s">
        <v>56</v>
      </c>
      <c r="S115" s="8" t="s">
        <v>72</v>
      </c>
      <c r="T115" s="8" t="s">
        <v>1150</v>
      </c>
      <c r="U115" s="8" t="s">
        <v>1150</v>
      </c>
      <c r="V115" s="8" t="s">
        <v>1150</v>
      </c>
      <c r="W115" s="8" t="s">
        <v>1145</v>
      </c>
    </row>
    <row r="116" spans="1:23" x14ac:dyDescent="0.2">
      <c r="A116" s="8" t="s">
        <v>538</v>
      </c>
      <c r="B116" s="8" t="s">
        <v>47</v>
      </c>
      <c r="C116" s="8" t="s">
        <v>539</v>
      </c>
      <c r="D116" s="8" t="s">
        <v>49</v>
      </c>
      <c r="E116" s="8" t="s">
        <v>1222</v>
      </c>
      <c r="F116" s="8" t="s">
        <v>437</v>
      </c>
      <c r="G116" s="8" t="s">
        <v>1</v>
      </c>
      <c r="H116" s="8"/>
      <c r="I116" s="8"/>
      <c r="J116" s="8"/>
      <c r="K116" s="8" t="s">
        <v>541</v>
      </c>
      <c r="L116" s="49" t="s">
        <v>542</v>
      </c>
      <c r="M116" s="8"/>
      <c r="N116" s="8"/>
      <c r="O116" s="8"/>
      <c r="P116" s="8"/>
      <c r="Q116" s="8" t="s">
        <v>55</v>
      </c>
      <c r="R116" s="8" t="s">
        <v>56</v>
      </c>
      <c r="S116" s="8" t="s">
        <v>47</v>
      </c>
      <c r="T116" s="8" t="s">
        <v>460</v>
      </c>
      <c r="U116" s="8" t="s">
        <v>460</v>
      </c>
      <c r="V116" s="8" t="s">
        <v>460</v>
      </c>
      <c r="W116" s="8"/>
    </row>
    <row r="117" spans="1:23" x14ac:dyDescent="0.2">
      <c r="A117" s="8" t="s">
        <v>545</v>
      </c>
      <c r="B117" s="8" t="s">
        <v>47</v>
      </c>
      <c r="C117" s="8" t="s">
        <v>546</v>
      </c>
      <c r="D117" s="8" t="s">
        <v>49</v>
      </c>
      <c r="E117" s="8" t="s">
        <v>1163</v>
      </c>
      <c r="F117" s="8" t="s">
        <v>240</v>
      </c>
      <c r="G117" s="8" t="s">
        <v>73</v>
      </c>
      <c r="H117" s="8" t="s">
        <v>1223</v>
      </c>
      <c r="I117" s="8"/>
      <c r="J117" s="8"/>
      <c r="K117" s="8" t="s">
        <v>547</v>
      </c>
      <c r="L117" s="49" t="s">
        <v>542</v>
      </c>
      <c r="M117" s="8"/>
      <c r="N117" s="8"/>
      <c r="O117" s="8"/>
      <c r="P117" s="8"/>
      <c r="Q117" s="8" t="s">
        <v>55</v>
      </c>
      <c r="R117" s="8" t="s">
        <v>56</v>
      </c>
      <c r="S117" s="8" t="s">
        <v>72</v>
      </c>
      <c r="T117" s="8" t="s">
        <v>460</v>
      </c>
      <c r="U117" s="8" t="s">
        <v>460</v>
      </c>
      <c r="V117" s="8" t="s">
        <v>460</v>
      </c>
      <c r="W117" s="8" t="s">
        <v>1165</v>
      </c>
    </row>
    <row r="118" spans="1:23" x14ac:dyDescent="0.2">
      <c r="A118" s="8" t="s">
        <v>549</v>
      </c>
      <c r="B118" s="8" t="s">
        <v>47</v>
      </c>
      <c r="C118" s="8" t="s">
        <v>550</v>
      </c>
      <c r="D118" s="8" t="s">
        <v>49</v>
      </c>
      <c r="E118" s="8" t="s">
        <v>1166</v>
      </c>
      <c r="F118" s="8" t="s">
        <v>240</v>
      </c>
      <c r="G118" s="8" t="s">
        <v>73</v>
      </c>
      <c r="H118" s="8" t="s">
        <v>1223</v>
      </c>
      <c r="I118" s="8"/>
      <c r="J118" s="8"/>
      <c r="K118" s="8" t="s">
        <v>547</v>
      </c>
      <c r="L118" s="49" t="s">
        <v>542</v>
      </c>
      <c r="M118" s="8"/>
      <c r="N118" s="8"/>
      <c r="O118" s="8"/>
      <c r="P118" s="8"/>
      <c r="Q118" s="8" t="s">
        <v>55</v>
      </c>
      <c r="R118" s="8" t="s">
        <v>56</v>
      </c>
      <c r="S118" s="8" t="s">
        <v>72</v>
      </c>
      <c r="T118" s="8" t="s">
        <v>460</v>
      </c>
      <c r="U118" s="8" t="s">
        <v>460</v>
      </c>
      <c r="V118" s="8" t="s">
        <v>460</v>
      </c>
      <c r="W118" s="8" t="s">
        <v>1165</v>
      </c>
    </row>
    <row r="119" spans="1:23" x14ac:dyDescent="0.2">
      <c r="A119" s="8" t="s">
        <v>551</v>
      </c>
      <c r="B119" s="8" t="s">
        <v>47</v>
      </c>
      <c r="C119" s="8" t="s">
        <v>552</v>
      </c>
      <c r="D119" s="8" t="s">
        <v>49</v>
      </c>
      <c r="E119" s="8" t="s">
        <v>1167</v>
      </c>
      <c r="F119" s="8" t="s">
        <v>347</v>
      </c>
      <c r="G119" s="8" t="s">
        <v>73</v>
      </c>
      <c r="H119" s="8" t="s">
        <v>1224</v>
      </c>
      <c r="I119" s="8"/>
      <c r="J119" s="8" t="s">
        <v>1225</v>
      </c>
      <c r="K119" s="8" t="s">
        <v>541</v>
      </c>
      <c r="L119" s="49" t="s">
        <v>553</v>
      </c>
      <c r="M119" s="8"/>
      <c r="N119" s="8"/>
      <c r="O119" s="8"/>
      <c r="P119" s="8"/>
      <c r="Q119" s="8" t="s">
        <v>55</v>
      </c>
      <c r="R119" s="8" t="s">
        <v>56</v>
      </c>
      <c r="S119" s="8" t="s">
        <v>72</v>
      </c>
      <c r="T119" s="8" t="s">
        <v>460</v>
      </c>
      <c r="U119" s="8" t="s">
        <v>460</v>
      </c>
      <c r="V119" s="8" t="s">
        <v>212</v>
      </c>
      <c r="W119" s="8" t="s">
        <v>1165</v>
      </c>
    </row>
    <row r="120" spans="1:23" x14ac:dyDescent="0.2">
      <c r="A120" s="8" t="s">
        <v>555</v>
      </c>
      <c r="B120" s="8" t="s">
        <v>47</v>
      </c>
      <c r="C120" s="8" t="s">
        <v>556</v>
      </c>
      <c r="D120" s="8" t="s">
        <v>49</v>
      </c>
      <c r="E120" s="8" t="s">
        <v>1170</v>
      </c>
      <c r="F120" s="8" t="s">
        <v>347</v>
      </c>
      <c r="G120" s="8" t="s">
        <v>73</v>
      </c>
      <c r="H120" s="8" t="s">
        <v>1224</v>
      </c>
      <c r="I120" s="8"/>
      <c r="J120" s="8"/>
      <c r="K120" s="8" t="s">
        <v>541</v>
      </c>
      <c r="L120" s="49" t="s">
        <v>553</v>
      </c>
      <c r="M120" s="8"/>
      <c r="N120" s="8"/>
      <c r="O120" s="8"/>
      <c r="P120" s="8"/>
      <c r="Q120" s="8" t="s">
        <v>55</v>
      </c>
      <c r="R120" s="8" t="s">
        <v>56</v>
      </c>
      <c r="S120" s="8" t="s">
        <v>72</v>
      </c>
      <c r="T120" s="8" t="s">
        <v>1226</v>
      </c>
      <c r="U120" s="8" t="s">
        <v>1226</v>
      </c>
      <c r="V120" s="8" t="s">
        <v>1226</v>
      </c>
      <c r="W120" s="8" t="s">
        <v>1165</v>
      </c>
    </row>
    <row r="121" spans="1:23" x14ac:dyDescent="0.2">
      <c r="A121" s="8" t="s">
        <v>557</v>
      </c>
      <c r="B121" s="8" t="s">
        <v>47</v>
      </c>
      <c r="C121" s="8" t="s">
        <v>558</v>
      </c>
      <c r="D121" s="8" t="s">
        <v>49</v>
      </c>
      <c r="E121" s="8" t="s">
        <v>1172</v>
      </c>
      <c r="F121" s="8" t="s">
        <v>347</v>
      </c>
      <c r="G121" s="8" t="s">
        <v>73</v>
      </c>
      <c r="H121" s="8" t="s">
        <v>1224</v>
      </c>
      <c r="I121" s="8"/>
      <c r="J121" s="8"/>
      <c r="K121" s="8" t="s">
        <v>541</v>
      </c>
      <c r="L121" s="49" t="s">
        <v>553</v>
      </c>
      <c r="M121" s="8"/>
      <c r="N121" s="8"/>
      <c r="O121" s="8"/>
      <c r="P121" s="8"/>
      <c r="Q121" s="8" t="s">
        <v>55</v>
      </c>
      <c r="R121" s="8" t="s">
        <v>56</v>
      </c>
      <c r="S121" s="8" t="s">
        <v>72</v>
      </c>
      <c r="T121" s="8" t="s">
        <v>1226</v>
      </c>
      <c r="U121" s="8" t="s">
        <v>1226</v>
      </c>
      <c r="V121" s="8" t="s">
        <v>1226</v>
      </c>
      <c r="W121" s="8" t="s">
        <v>1165</v>
      </c>
    </row>
    <row r="122" spans="1:23" x14ac:dyDescent="0.2">
      <c r="A122" s="8" t="s">
        <v>559</v>
      </c>
      <c r="B122" s="8" t="s">
        <v>47</v>
      </c>
      <c r="C122" s="8" t="s">
        <v>560</v>
      </c>
      <c r="D122" s="8" t="s">
        <v>49</v>
      </c>
      <c r="E122" s="8" t="s">
        <v>1227</v>
      </c>
      <c r="F122" s="8" t="s">
        <v>460</v>
      </c>
      <c r="G122" s="8" t="s">
        <v>1</v>
      </c>
      <c r="H122" s="8" t="s">
        <v>562</v>
      </c>
      <c r="I122" s="8"/>
      <c r="J122" s="8" t="s">
        <v>1228</v>
      </c>
      <c r="K122" s="8" t="s">
        <v>473</v>
      </c>
      <c r="L122" s="49" t="s">
        <v>468</v>
      </c>
      <c r="M122" s="8"/>
      <c r="N122" s="8"/>
      <c r="O122" s="8"/>
      <c r="P122" s="8"/>
      <c r="Q122" s="8" t="s">
        <v>55</v>
      </c>
      <c r="R122" s="8" t="s">
        <v>56</v>
      </c>
      <c r="S122" s="8" t="s">
        <v>72</v>
      </c>
      <c r="T122" s="8" t="s">
        <v>212</v>
      </c>
      <c r="U122" s="8" t="s">
        <v>212</v>
      </c>
      <c r="V122" s="8" t="s">
        <v>212</v>
      </c>
      <c r="W122" s="8" t="s">
        <v>1134</v>
      </c>
    </row>
    <row r="123" spans="1:23" x14ac:dyDescent="0.2">
      <c r="A123" s="8" t="s">
        <v>563</v>
      </c>
      <c r="B123" s="8" t="s">
        <v>47</v>
      </c>
      <c r="C123" s="8" t="s">
        <v>564</v>
      </c>
      <c r="D123" s="8" t="s">
        <v>49</v>
      </c>
      <c r="E123" s="8" t="s">
        <v>1229</v>
      </c>
      <c r="F123" s="8" t="s">
        <v>566</v>
      </c>
      <c r="G123" s="8" t="s">
        <v>57</v>
      </c>
      <c r="H123" s="8"/>
      <c r="I123" s="8"/>
      <c r="J123" s="8"/>
      <c r="K123" s="8" t="s">
        <v>290</v>
      </c>
      <c r="L123" s="49" t="s">
        <v>52</v>
      </c>
      <c r="M123" s="8"/>
      <c r="N123" s="8"/>
      <c r="O123" s="8"/>
      <c r="P123" s="8"/>
      <c r="Q123" s="8" t="s">
        <v>55</v>
      </c>
      <c r="R123" s="8" t="s">
        <v>56</v>
      </c>
      <c r="S123" s="8" t="s">
        <v>47</v>
      </c>
      <c r="T123" s="8" t="s">
        <v>1230</v>
      </c>
      <c r="U123" s="8" t="s">
        <v>212</v>
      </c>
      <c r="V123" s="8" t="s">
        <v>212</v>
      </c>
      <c r="W123" s="8"/>
    </row>
    <row r="124" spans="1:23" x14ac:dyDescent="0.2">
      <c r="A124" s="8" t="s">
        <v>568</v>
      </c>
      <c r="B124" s="8" t="s">
        <v>47</v>
      </c>
      <c r="C124" s="8" t="s">
        <v>569</v>
      </c>
      <c r="D124" s="8" t="s">
        <v>49</v>
      </c>
      <c r="E124" s="8" t="s">
        <v>1231</v>
      </c>
      <c r="F124" s="8" t="s">
        <v>194</v>
      </c>
      <c r="G124" s="8" t="s">
        <v>1</v>
      </c>
      <c r="H124" s="8" t="s">
        <v>559</v>
      </c>
      <c r="I124" s="8">
        <v>63</v>
      </c>
      <c r="J124" s="8" t="s">
        <v>1232</v>
      </c>
      <c r="K124" s="8" t="s">
        <v>571</v>
      </c>
      <c r="L124" s="49" t="s">
        <v>572</v>
      </c>
      <c r="M124" s="8"/>
      <c r="N124" s="8"/>
      <c r="O124" s="8"/>
      <c r="P124" s="8"/>
      <c r="Q124" s="8" t="s">
        <v>55</v>
      </c>
      <c r="R124" s="8" t="s">
        <v>56</v>
      </c>
      <c r="S124" s="8" t="s">
        <v>72</v>
      </c>
      <c r="T124" s="8" t="s">
        <v>212</v>
      </c>
      <c r="U124" s="8" t="s">
        <v>212</v>
      </c>
      <c r="V124" s="8" t="s">
        <v>212</v>
      </c>
      <c r="W124" s="8" t="s">
        <v>1129</v>
      </c>
    </row>
    <row r="125" spans="1:23" x14ac:dyDescent="0.2">
      <c r="A125" s="8" t="s">
        <v>575</v>
      </c>
      <c r="B125" s="8" t="s">
        <v>47</v>
      </c>
      <c r="C125" s="8" t="s">
        <v>576</v>
      </c>
      <c r="D125" s="8" t="s">
        <v>49</v>
      </c>
      <c r="E125" s="8" t="s">
        <v>1233</v>
      </c>
      <c r="F125" s="8" t="s">
        <v>578</v>
      </c>
      <c r="G125" s="8" t="s">
        <v>1</v>
      </c>
      <c r="H125" s="8" t="s">
        <v>568</v>
      </c>
      <c r="I125" s="8"/>
      <c r="J125" s="8"/>
      <c r="K125" s="8" t="s">
        <v>579</v>
      </c>
      <c r="L125" s="49" t="s">
        <v>580</v>
      </c>
      <c r="M125" s="8"/>
      <c r="N125" s="8"/>
      <c r="O125" s="8"/>
      <c r="P125" s="8"/>
      <c r="Q125" s="8" t="s">
        <v>55</v>
      </c>
      <c r="R125" s="8" t="s">
        <v>56</v>
      </c>
      <c r="S125" s="8" t="s">
        <v>72</v>
      </c>
      <c r="T125" s="8" t="s">
        <v>1234</v>
      </c>
      <c r="U125" s="8" t="s">
        <v>1234</v>
      </c>
      <c r="V125" s="8" t="s">
        <v>1234</v>
      </c>
      <c r="W125" s="8" t="s">
        <v>1129</v>
      </c>
    </row>
    <row r="126" spans="1:23" x14ac:dyDescent="0.2">
      <c r="A126" s="8" t="s">
        <v>583</v>
      </c>
      <c r="B126" s="8" t="s">
        <v>47</v>
      </c>
      <c r="C126" s="8" t="s">
        <v>584</v>
      </c>
      <c r="D126" s="8" t="s">
        <v>49</v>
      </c>
      <c r="E126" s="8" t="s">
        <v>1235</v>
      </c>
      <c r="F126" s="8" t="s">
        <v>586</v>
      </c>
      <c r="G126" s="8" t="s">
        <v>1</v>
      </c>
      <c r="H126" s="8"/>
      <c r="I126" s="8"/>
      <c r="J126" s="8"/>
      <c r="K126" s="8" t="s">
        <v>266</v>
      </c>
      <c r="L126" s="49" t="s">
        <v>587</v>
      </c>
      <c r="M126" s="8"/>
      <c r="N126" s="8"/>
      <c r="O126" s="8"/>
      <c r="P126" s="8"/>
      <c r="Q126" s="8" t="s">
        <v>55</v>
      </c>
      <c r="R126" s="8" t="s">
        <v>56</v>
      </c>
      <c r="S126" s="8" t="s">
        <v>47</v>
      </c>
      <c r="T126" s="8" t="s">
        <v>1126</v>
      </c>
      <c r="U126" s="8" t="s">
        <v>1236</v>
      </c>
      <c r="V126" s="8" t="s">
        <v>1236</v>
      </c>
      <c r="W126" s="8"/>
    </row>
    <row r="127" spans="1:23" x14ac:dyDescent="0.2">
      <c r="A127" s="8" t="s">
        <v>589</v>
      </c>
      <c r="B127" s="8" t="s">
        <v>47</v>
      </c>
      <c r="C127" s="8" t="s">
        <v>590</v>
      </c>
      <c r="D127" s="8" t="s">
        <v>49</v>
      </c>
      <c r="E127" s="8" t="s">
        <v>1132</v>
      </c>
      <c r="F127" s="8" t="s">
        <v>194</v>
      </c>
      <c r="G127" s="8" t="s">
        <v>73</v>
      </c>
      <c r="H127" s="8" t="s">
        <v>591</v>
      </c>
      <c r="I127" s="8"/>
      <c r="J127" s="8"/>
      <c r="K127" s="8" t="s">
        <v>592</v>
      </c>
      <c r="L127" s="49" t="s">
        <v>587</v>
      </c>
      <c r="M127" s="8"/>
      <c r="N127" s="8"/>
      <c r="O127" s="8"/>
      <c r="P127" s="8"/>
      <c r="Q127" s="8" t="s">
        <v>55</v>
      </c>
      <c r="R127" s="8" t="s">
        <v>56</v>
      </c>
      <c r="S127" s="8" t="s">
        <v>72</v>
      </c>
      <c r="T127" s="8" t="s">
        <v>1236</v>
      </c>
      <c r="U127" s="8" t="s">
        <v>1236</v>
      </c>
      <c r="V127" s="8" t="s">
        <v>1236</v>
      </c>
      <c r="W127" s="8" t="s">
        <v>1134</v>
      </c>
    </row>
    <row r="128" spans="1:23" x14ac:dyDescent="0.2">
      <c r="A128" s="8" t="s">
        <v>593</v>
      </c>
      <c r="B128" s="8" t="s">
        <v>47</v>
      </c>
      <c r="C128" s="8" t="s">
        <v>594</v>
      </c>
      <c r="D128" s="8" t="s">
        <v>49</v>
      </c>
      <c r="E128" s="8" t="s">
        <v>1135</v>
      </c>
      <c r="F128" s="8" t="s">
        <v>240</v>
      </c>
      <c r="G128" s="8" t="s">
        <v>73</v>
      </c>
      <c r="H128" s="8" t="s">
        <v>1237</v>
      </c>
      <c r="I128" s="8"/>
      <c r="J128" s="8" t="s">
        <v>595</v>
      </c>
      <c r="K128" s="8" t="s">
        <v>596</v>
      </c>
      <c r="L128" s="49" t="s">
        <v>597</v>
      </c>
      <c r="M128" s="8"/>
      <c r="N128" s="8"/>
      <c r="O128" s="8"/>
      <c r="P128" s="8"/>
      <c r="Q128" s="8" t="s">
        <v>55</v>
      </c>
      <c r="R128" s="8" t="s">
        <v>56</v>
      </c>
      <c r="S128" s="8" t="s">
        <v>72</v>
      </c>
      <c r="T128" s="8" t="s">
        <v>1236</v>
      </c>
      <c r="U128" s="8" t="s">
        <v>1236</v>
      </c>
      <c r="V128" s="8" t="s">
        <v>212</v>
      </c>
      <c r="W128" s="8" t="s">
        <v>1129</v>
      </c>
    </row>
    <row r="129" spans="1:23" x14ac:dyDescent="0.2">
      <c r="A129" s="8" t="s">
        <v>600</v>
      </c>
      <c r="B129" s="8" t="s">
        <v>47</v>
      </c>
      <c r="C129" s="8" t="s">
        <v>601</v>
      </c>
      <c r="D129" s="8" t="s">
        <v>49</v>
      </c>
      <c r="E129" s="8" t="s">
        <v>1137</v>
      </c>
      <c r="F129" s="8" t="s">
        <v>194</v>
      </c>
      <c r="G129" s="8" t="s">
        <v>73</v>
      </c>
      <c r="H129" s="8" t="s">
        <v>1237</v>
      </c>
      <c r="I129" s="8"/>
      <c r="J129" s="8" t="s">
        <v>602</v>
      </c>
      <c r="K129" s="8" t="s">
        <v>596</v>
      </c>
      <c r="L129" s="49" t="s">
        <v>580</v>
      </c>
      <c r="M129" s="8"/>
      <c r="N129" s="8"/>
      <c r="O129" s="8"/>
      <c r="P129" s="8"/>
      <c r="Q129" s="8" t="s">
        <v>55</v>
      </c>
      <c r="R129" s="8" t="s">
        <v>56</v>
      </c>
      <c r="S129" s="8" t="s">
        <v>72</v>
      </c>
      <c r="T129" s="8" t="s">
        <v>1236</v>
      </c>
      <c r="U129" s="8" t="s">
        <v>1236</v>
      </c>
      <c r="V129" s="8" t="s">
        <v>212</v>
      </c>
      <c r="W129" s="8" t="s">
        <v>1129</v>
      </c>
    </row>
    <row r="130" spans="1:23" x14ac:dyDescent="0.2">
      <c r="A130" s="8" t="s">
        <v>603</v>
      </c>
      <c r="B130" s="8" t="s">
        <v>47</v>
      </c>
      <c r="C130" s="8" t="s">
        <v>604</v>
      </c>
      <c r="D130" s="8" t="s">
        <v>49</v>
      </c>
      <c r="E130" s="8" t="s">
        <v>1138</v>
      </c>
      <c r="F130" s="8" t="s">
        <v>194</v>
      </c>
      <c r="G130" s="8" t="s">
        <v>73</v>
      </c>
      <c r="H130" s="8" t="s">
        <v>600</v>
      </c>
      <c r="I130" s="8"/>
      <c r="J130" s="8" t="s">
        <v>595</v>
      </c>
      <c r="K130" s="8" t="s">
        <v>605</v>
      </c>
      <c r="L130" s="49" t="s">
        <v>597</v>
      </c>
      <c r="M130" s="8"/>
      <c r="N130" s="8"/>
      <c r="O130" s="8"/>
      <c r="P130" s="8"/>
      <c r="Q130" s="8" t="s">
        <v>55</v>
      </c>
      <c r="R130" s="8" t="s">
        <v>56</v>
      </c>
      <c r="S130" s="8" t="s">
        <v>72</v>
      </c>
      <c r="T130" s="8" t="s">
        <v>1236</v>
      </c>
      <c r="U130" s="8" t="s">
        <v>1236</v>
      </c>
      <c r="V130" s="8" t="s">
        <v>212</v>
      </c>
      <c r="W130" s="8" t="s">
        <v>1134</v>
      </c>
    </row>
    <row r="131" spans="1:23" x14ac:dyDescent="0.2">
      <c r="A131" s="8" t="s">
        <v>606</v>
      </c>
      <c r="B131" s="8" t="s">
        <v>47</v>
      </c>
      <c r="C131" s="8" t="s">
        <v>607</v>
      </c>
      <c r="D131" s="8" t="s">
        <v>49</v>
      </c>
      <c r="E131" s="8" t="s">
        <v>1139</v>
      </c>
      <c r="F131" s="8" t="s">
        <v>194</v>
      </c>
      <c r="G131" s="8" t="s">
        <v>73</v>
      </c>
      <c r="H131" s="8" t="s">
        <v>600</v>
      </c>
      <c r="I131" s="8"/>
      <c r="J131" s="8" t="s">
        <v>595</v>
      </c>
      <c r="K131" s="8" t="s">
        <v>605</v>
      </c>
      <c r="L131" s="49" t="s">
        <v>597</v>
      </c>
      <c r="M131" s="8"/>
      <c r="N131" s="8"/>
      <c r="O131" s="8"/>
      <c r="P131" s="8"/>
      <c r="Q131" s="8" t="s">
        <v>55</v>
      </c>
      <c r="R131" s="8" t="s">
        <v>56</v>
      </c>
      <c r="S131" s="8" t="s">
        <v>72</v>
      </c>
      <c r="T131" s="8" t="s">
        <v>1236</v>
      </c>
      <c r="U131" s="8" t="s">
        <v>1236</v>
      </c>
      <c r="V131" s="8" t="s">
        <v>212</v>
      </c>
      <c r="W131" s="8" t="s">
        <v>1129</v>
      </c>
    </row>
    <row r="132" spans="1:23" x14ac:dyDescent="0.2">
      <c r="A132" s="8" t="s">
        <v>608</v>
      </c>
      <c r="B132" s="8" t="s">
        <v>47</v>
      </c>
      <c r="C132" s="8" t="s">
        <v>609</v>
      </c>
      <c r="D132" s="8" t="s">
        <v>49</v>
      </c>
      <c r="E132" s="8" t="s">
        <v>1238</v>
      </c>
      <c r="F132" s="8" t="s">
        <v>240</v>
      </c>
      <c r="G132" s="8" t="s">
        <v>73</v>
      </c>
      <c r="H132" s="8" t="s">
        <v>1237</v>
      </c>
      <c r="I132" s="8"/>
      <c r="J132" s="8"/>
      <c r="K132" s="8" t="s">
        <v>596</v>
      </c>
      <c r="L132" s="49" t="s">
        <v>597</v>
      </c>
      <c r="M132" s="8"/>
      <c r="N132" s="8"/>
      <c r="O132" s="8"/>
      <c r="P132" s="8"/>
      <c r="Q132" s="8" t="s">
        <v>55</v>
      </c>
      <c r="R132" s="8" t="s">
        <v>56</v>
      </c>
      <c r="S132" s="8" t="s">
        <v>72</v>
      </c>
      <c r="T132" s="8" t="s">
        <v>1239</v>
      </c>
      <c r="U132" s="8" t="s">
        <v>1239</v>
      </c>
      <c r="V132" s="8" t="s">
        <v>1239</v>
      </c>
      <c r="W132" s="8" t="s">
        <v>1129</v>
      </c>
    </row>
    <row r="133" spans="1:23" x14ac:dyDescent="0.2">
      <c r="A133" s="8" t="s">
        <v>611</v>
      </c>
      <c r="B133" s="8" t="s">
        <v>47</v>
      </c>
      <c r="C133" s="8" t="s">
        <v>612</v>
      </c>
      <c r="D133" s="8" t="s">
        <v>49</v>
      </c>
      <c r="E133" s="8" t="s">
        <v>1140</v>
      </c>
      <c r="F133" s="8" t="s">
        <v>194</v>
      </c>
      <c r="G133" s="8" t="s">
        <v>73</v>
      </c>
      <c r="H133" s="8" t="s">
        <v>591</v>
      </c>
      <c r="I133" s="8"/>
      <c r="J133" s="8"/>
      <c r="K133" s="8" t="s">
        <v>592</v>
      </c>
      <c r="L133" s="49" t="s">
        <v>587</v>
      </c>
      <c r="M133" s="8"/>
      <c r="N133" s="8"/>
      <c r="O133" s="8"/>
      <c r="P133" s="8"/>
      <c r="Q133" s="8" t="s">
        <v>55</v>
      </c>
      <c r="R133" s="8" t="s">
        <v>56</v>
      </c>
      <c r="S133" s="8" t="s">
        <v>72</v>
      </c>
      <c r="T133" s="8" t="s">
        <v>1236</v>
      </c>
      <c r="U133" s="8" t="s">
        <v>1236</v>
      </c>
      <c r="V133" s="8" t="s">
        <v>1236</v>
      </c>
      <c r="W133" s="8" t="s">
        <v>1129</v>
      </c>
    </row>
    <row r="134" spans="1:23" x14ac:dyDescent="0.2">
      <c r="A134" s="8" t="s">
        <v>613</v>
      </c>
      <c r="B134" s="8" t="s">
        <v>47</v>
      </c>
      <c r="C134" s="8" t="s">
        <v>614</v>
      </c>
      <c r="D134" s="8" t="s">
        <v>49</v>
      </c>
      <c r="E134" s="8" t="s">
        <v>1141</v>
      </c>
      <c r="F134" s="8" t="s">
        <v>265</v>
      </c>
      <c r="G134" s="8" t="s">
        <v>73</v>
      </c>
      <c r="H134" s="8"/>
      <c r="I134" s="8"/>
      <c r="J134" s="8"/>
      <c r="K134" s="8" t="s">
        <v>266</v>
      </c>
      <c r="L134" s="49" t="s">
        <v>217</v>
      </c>
      <c r="M134" s="8"/>
      <c r="N134" s="8"/>
      <c r="O134" s="8"/>
      <c r="P134" s="8"/>
      <c r="Q134" s="8" t="s">
        <v>55</v>
      </c>
      <c r="R134" s="8" t="s">
        <v>56</v>
      </c>
      <c r="S134" s="8" t="s">
        <v>47</v>
      </c>
      <c r="T134" s="8" t="s">
        <v>1126</v>
      </c>
      <c r="U134" s="8" t="s">
        <v>1126</v>
      </c>
      <c r="V134" s="8" t="s">
        <v>1126</v>
      </c>
      <c r="W134" s="8"/>
    </row>
    <row r="135" spans="1:23" x14ac:dyDescent="0.2">
      <c r="A135" s="8" t="s">
        <v>615</v>
      </c>
      <c r="B135" s="8" t="s">
        <v>47</v>
      </c>
      <c r="C135" s="8" t="s">
        <v>616</v>
      </c>
      <c r="D135" s="8" t="s">
        <v>49</v>
      </c>
      <c r="E135" s="8" t="s">
        <v>1142</v>
      </c>
      <c r="F135" s="8" t="s">
        <v>83</v>
      </c>
      <c r="G135" s="8" t="s">
        <v>80</v>
      </c>
      <c r="H135" s="8" t="s">
        <v>1240</v>
      </c>
      <c r="I135" s="8"/>
      <c r="J135" s="8" t="s">
        <v>1241</v>
      </c>
      <c r="K135" s="8" t="s">
        <v>270</v>
      </c>
      <c r="L135" s="49" t="s">
        <v>271</v>
      </c>
      <c r="M135" s="8"/>
      <c r="N135" s="8"/>
      <c r="O135" s="8"/>
      <c r="P135" s="8"/>
      <c r="Q135" s="8" t="s">
        <v>55</v>
      </c>
      <c r="R135" s="8" t="s">
        <v>56</v>
      </c>
      <c r="S135" s="8" t="s">
        <v>72</v>
      </c>
      <c r="T135" s="8" t="s">
        <v>1126</v>
      </c>
      <c r="U135" s="8" t="s">
        <v>1126</v>
      </c>
      <c r="V135" s="8" t="s">
        <v>212</v>
      </c>
      <c r="W135" s="8" t="s">
        <v>1145</v>
      </c>
    </row>
    <row r="136" spans="1:23" x14ac:dyDescent="0.2">
      <c r="A136" s="8" t="s">
        <v>617</v>
      </c>
      <c r="B136" s="8" t="s">
        <v>47</v>
      </c>
      <c r="C136" s="8" t="s">
        <v>618</v>
      </c>
      <c r="D136" s="8" t="s">
        <v>49</v>
      </c>
      <c r="E136" s="8" t="s">
        <v>1146</v>
      </c>
      <c r="F136" s="8" t="s">
        <v>83</v>
      </c>
      <c r="G136" s="8" t="s">
        <v>80</v>
      </c>
      <c r="H136" s="8" t="s">
        <v>619</v>
      </c>
      <c r="I136" s="8"/>
      <c r="J136" s="8" t="s">
        <v>1242</v>
      </c>
      <c r="K136" s="8" t="s">
        <v>266</v>
      </c>
      <c r="L136" s="49" t="s">
        <v>279</v>
      </c>
      <c r="M136" s="8"/>
      <c r="N136" s="8"/>
      <c r="O136" s="8"/>
      <c r="P136" s="8"/>
      <c r="Q136" s="8" t="s">
        <v>55</v>
      </c>
      <c r="R136" s="8" t="s">
        <v>56</v>
      </c>
      <c r="S136" s="8" t="s">
        <v>72</v>
      </c>
      <c r="T136" s="8" t="s">
        <v>1126</v>
      </c>
      <c r="U136" s="8" t="s">
        <v>1126</v>
      </c>
      <c r="V136" s="8" t="s">
        <v>212</v>
      </c>
      <c r="W136" s="8" t="s">
        <v>1145</v>
      </c>
    </row>
    <row r="137" spans="1:23" x14ac:dyDescent="0.2">
      <c r="A137" s="8" t="s">
        <v>620</v>
      </c>
      <c r="B137" s="8" t="s">
        <v>47</v>
      </c>
      <c r="C137" s="8" t="s">
        <v>621</v>
      </c>
      <c r="D137" s="8" t="s">
        <v>49</v>
      </c>
      <c r="E137" s="8" t="s">
        <v>1148</v>
      </c>
      <c r="F137" s="8" t="s">
        <v>83</v>
      </c>
      <c r="G137" s="8" t="s">
        <v>80</v>
      </c>
      <c r="H137" s="8" t="s">
        <v>1243</v>
      </c>
      <c r="I137" s="8"/>
      <c r="J137" s="8"/>
      <c r="K137" s="8" t="s">
        <v>284</v>
      </c>
      <c r="L137" s="49" t="s">
        <v>217</v>
      </c>
      <c r="M137" s="8"/>
      <c r="N137" s="8"/>
      <c r="O137" s="8"/>
      <c r="P137" s="8"/>
      <c r="Q137" s="8" t="s">
        <v>55</v>
      </c>
      <c r="R137" s="8" t="s">
        <v>56</v>
      </c>
      <c r="S137" s="8" t="s">
        <v>72</v>
      </c>
      <c r="T137" s="8" t="s">
        <v>1126</v>
      </c>
      <c r="U137" s="8" t="s">
        <v>1126</v>
      </c>
      <c r="V137" s="8" t="s">
        <v>1126</v>
      </c>
      <c r="W137" s="8" t="s">
        <v>1145</v>
      </c>
    </row>
    <row r="138" spans="1:23" x14ac:dyDescent="0.2">
      <c r="A138" s="8" t="s">
        <v>622</v>
      </c>
      <c r="B138" s="8" t="s">
        <v>47</v>
      </c>
      <c r="C138" s="8" t="s">
        <v>623</v>
      </c>
      <c r="D138" s="8" t="s">
        <v>49</v>
      </c>
      <c r="E138" s="8" t="s">
        <v>1244</v>
      </c>
      <c r="F138" s="8" t="s">
        <v>289</v>
      </c>
      <c r="G138" s="8" t="s">
        <v>1</v>
      </c>
      <c r="H138" s="8"/>
      <c r="I138" s="8"/>
      <c r="J138" s="8"/>
      <c r="K138" s="8" t="s">
        <v>290</v>
      </c>
      <c r="L138" s="49" t="s">
        <v>291</v>
      </c>
      <c r="M138" s="8"/>
      <c r="N138" s="8"/>
      <c r="O138" s="8"/>
      <c r="P138" s="8"/>
      <c r="Q138" s="8" t="s">
        <v>55</v>
      </c>
      <c r="R138" s="8" t="s">
        <v>56</v>
      </c>
      <c r="S138" s="8" t="s">
        <v>47</v>
      </c>
      <c r="T138" s="8" t="s">
        <v>1230</v>
      </c>
      <c r="U138" s="8" t="s">
        <v>1150</v>
      </c>
      <c r="V138" s="8" t="s">
        <v>1230</v>
      </c>
      <c r="W138" s="8"/>
    </row>
    <row r="139" spans="1:23" x14ac:dyDescent="0.2">
      <c r="A139" s="8" t="s">
        <v>625</v>
      </c>
      <c r="B139" s="8" t="s">
        <v>47</v>
      </c>
      <c r="C139" s="8" t="s">
        <v>626</v>
      </c>
      <c r="D139" s="8" t="s">
        <v>49</v>
      </c>
      <c r="E139" s="8" t="s">
        <v>1151</v>
      </c>
      <c r="F139" s="8" t="s">
        <v>289</v>
      </c>
      <c r="G139" s="8" t="s">
        <v>73</v>
      </c>
      <c r="H139" s="8"/>
      <c r="I139" s="8"/>
      <c r="J139" s="8"/>
      <c r="K139" s="8" t="s">
        <v>290</v>
      </c>
      <c r="L139" s="49" t="s">
        <v>291</v>
      </c>
      <c r="M139" s="8"/>
      <c r="N139" s="8"/>
      <c r="O139" s="8"/>
      <c r="P139" s="8"/>
      <c r="Q139" s="8" t="s">
        <v>55</v>
      </c>
      <c r="R139" s="8" t="s">
        <v>56</v>
      </c>
      <c r="S139" s="8" t="s">
        <v>47</v>
      </c>
      <c r="T139" s="8" t="s">
        <v>1230</v>
      </c>
      <c r="U139" s="8" t="s">
        <v>1150</v>
      </c>
      <c r="V139" s="8" t="s">
        <v>1230</v>
      </c>
      <c r="W139" s="8"/>
    </row>
    <row r="140" spans="1:23" x14ac:dyDescent="0.2">
      <c r="A140" s="8" t="s">
        <v>627</v>
      </c>
      <c r="B140" s="8" t="s">
        <v>47</v>
      </c>
      <c r="C140" s="8" t="s">
        <v>628</v>
      </c>
      <c r="D140" s="8" t="s">
        <v>49</v>
      </c>
      <c r="E140" s="8" t="s">
        <v>1142</v>
      </c>
      <c r="F140" s="8" t="s">
        <v>300</v>
      </c>
      <c r="G140" s="8" t="s">
        <v>80</v>
      </c>
      <c r="H140" s="8" t="s">
        <v>1245</v>
      </c>
      <c r="I140" s="8"/>
      <c r="J140" s="8" t="s">
        <v>1246</v>
      </c>
      <c r="K140" s="8" t="s">
        <v>301</v>
      </c>
      <c r="L140" s="49" t="s">
        <v>302</v>
      </c>
      <c r="M140" s="8"/>
      <c r="N140" s="8"/>
      <c r="O140" s="8"/>
      <c r="P140" s="8"/>
      <c r="Q140" s="8" t="s">
        <v>55</v>
      </c>
      <c r="R140" s="8" t="s">
        <v>56</v>
      </c>
      <c r="S140" s="8" t="s">
        <v>72</v>
      </c>
      <c r="T140" s="8" t="s">
        <v>1150</v>
      </c>
      <c r="U140" s="8" t="s">
        <v>1150</v>
      </c>
      <c r="V140" s="8" t="s">
        <v>212</v>
      </c>
      <c r="W140" s="8" t="s">
        <v>1145</v>
      </c>
    </row>
    <row r="141" spans="1:23" x14ac:dyDescent="0.2">
      <c r="A141" s="8" t="s">
        <v>629</v>
      </c>
      <c r="B141" s="8" t="s">
        <v>47</v>
      </c>
      <c r="C141" s="8" t="s">
        <v>630</v>
      </c>
      <c r="D141" s="8" t="s">
        <v>49</v>
      </c>
      <c r="E141" s="8" t="s">
        <v>1146</v>
      </c>
      <c r="F141" s="8" t="s">
        <v>300</v>
      </c>
      <c r="G141" s="8" t="s">
        <v>80</v>
      </c>
      <c r="H141" s="8" t="s">
        <v>219</v>
      </c>
      <c r="I141" s="8"/>
      <c r="J141" s="8" t="s">
        <v>1247</v>
      </c>
      <c r="K141" s="8" t="s">
        <v>290</v>
      </c>
      <c r="L141" s="49" t="s">
        <v>309</v>
      </c>
      <c r="M141" s="8"/>
      <c r="N141" s="8"/>
      <c r="O141" s="8"/>
      <c r="P141" s="8"/>
      <c r="Q141" s="8" t="s">
        <v>55</v>
      </c>
      <c r="R141" s="8" t="s">
        <v>56</v>
      </c>
      <c r="S141" s="8" t="s">
        <v>72</v>
      </c>
      <c r="T141" s="8" t="s">
        <v>1230</v>
      </c>
      <c r="U141" s="8" t="s">
        <v>1230</v>
      </c>
      <c r="V141" s="8" t="s">
        <v>212</v>
      </c>
      <c r="W141" s="8" t="s">
        <v>1145</v>
      </c>
    </row>
    <row r="142" spans="1:23" x14ac:dyDescent="0.2">
      <c r="A142" s="8" t="s">
        <v>632</v>
      </c>
      <c r="B142" s="8" t="s">
        <v>47</v>
      </c>
      <c r="C142" s="8" t="s">
        <v>633</v>
      </c>
      <c r="D142" s="8" t="s">
        <v>49</v>
      </c>
      <c r="E142" s="8" t="s">
        <v>1148</v>
      </c>
      <c r="F142" s="8" t="s">
        <v>300</v>
      </c>
      <c r="G142" s="8" t="s">
        <v>80</v>
      </c>
      <c r="H142" s="8" t="s">
        <v>1248</v>
      </c>
      <c r="I142" s="8"/>
      <c r="J142" s="8"/>
      <c r="K142" s="8" t="s">
        <v>314</v>
      </c>
      <c r="L142" s="49" t="s">
        <v>291</v>
      </c>
      <c r="M142" s="8"/>
      <c r="N142" s="8"/>
      <c r="O142" s="8"/>
      <c r="P142" s="8"/>
      <c r="Q142" s="8" t="s">
        <v>55</v>
      </c>
      <c r="R142" s="8" t="s">
        <v>56</v>
      </c>
      <c r="S142" s="8" t="s">
        <v>72</v>
      </c>
      <c r="T142" s="8" t="s">
        <v>1150</v>
      </c>
      <c r="U142" s="8" t="s">
        <v>1150</v>
      </c>
      <c r="V142" s="8" t="s">
        <v>1150</v>
      </c>
      <c r="W142" s="8" t="s">
        <v>1145</v>
      </c>
    </row>
    <row r="143" spans="1:23" x14ac:dyDescent="0.2">
      <c r="A143" s="8" t="s">
        <v>634</v>
      </c>
      <c r="B143" s="8" t="s">
        <v>47</v>
      </c>
      <c r="C143" s="8" t="s">
        <v>635</v>
      </c>
      <c r="D143" s="8" t="s">
        <v>49</v>
      </c>
      <c r="E143" s="8" t="s">
        <v>1156</v>
      </c>
      <c r="F143" s="8" t="s">
        <v>289</v>
      </c>
      <c r="G143" s="8" t="s">
        <v>73</v>
      </c>
      <c r="H143" s="8"/>
      <c r="I143" s="8"/>
      <c r="J143" s="8"/>
      <c r="K143" s="8" t="s">
        <v>290</v>
      </c>
      <c r="L143" s="49" t="s">
        <v>291</v>
      </c>
      <c r="M143" s="8"/>
      <c r="N143" s="8"/>
      <c r="O143" s="8"/>
      <c r="P143" s="8"/>
      <c r="Q143" s="8" t="s">
        <v>55</v>
      </c>
      <c r="R143" s="8" t="s">
        <v>56</v>
      </c>
      <c r="S143" s="8" t="s">
        <v>47</v>
      </c>
      <c r="T143" s="8" t="s">
        <v>1230</v>
      </c>
      <c r="U143" s="8" t="s">
        <v>1150</v>
      </c>
      <c r="V143" s="8" t="s">
        <v>1230</v>
      </c>
      <c r="W143" s="8"/>
    </row>
    <row r="144" spans="1:23" x14ac:dyDescent="0.2">
      <c r="A144" s="8" t="s">
        <v>636</v>
      </c>
      <c r="B144" s="8" t="s">
        <v>47</v>
      </c>
      <c r="C144" s="8" t="s">
        <v>637</v>
      </c>
      <c r="D144" s="8" t="s">
        <v>49</v>
      </c>
      <c r="E144" s="8" t="s">
        <v>1142</v>
      </c>
      <c r="F144" s="8" t="s">
        <v>300</v>
      </c>
      <c r="G144" s="8" t="s">
        <v>80</v>
      </c>
      <c r="H144" s="8" t="s">
        <v>1249</v>
      </c>
      <c r="I144" s="8"/>
      <c r="J144" s="8" t="s">
        <v>1250</v>
      </c>
      <c r="K144" s="8" t="s">
        <v>301</v>
      </c>
      <c r="L144" s="49" t="s">
        <v>302</v>
      </c>
      <c r="M144" s="8"/>
      <c r="N144" s="8"/>
      <c r="O144" s="8"/>
      <c r="P144" s="8"/>
      <c r="Q144" s="8" t="s">
        <v>55</v>
      </c>
      <c r="R144" s="8" t="s">
        <v>56</v>
      </c>
      <c r="S144" s="8" t="s">
        <v>72</v>
      </c>
      <c r="T144" s="8" t="s">
        <v>1150</v>
      </c>
      <c r="U144" s="8" t="s">
        <v>1150</v>
      </c>
      <c r="V144" s="8" t="s">
        <v>212</v>
      </c>
      <c r="W144" s="8" t="s">
        <v>1145</v>
      </c>
    </row>
    <row r="145" spans="1:23" x14ac:dyDescent="0.2">
      <c r="A145" s="8" t="s">
        <v>638</v>
      </c>
      <c r="B145" s="8" t="s">
        <v>47</v>
      </c>
      <c r="C145" s="8" t="s">
        <v>639</v>
      </c>
      <c r="D145" s="8" t="s">
        <v>49</v>
      </c>
      <c r="E145" s="8" t="s">
        <v>1146</v>
      </c>
      <c r="F145" s="8" t="s">
        <v>300</v>
      </c>
      <c r="G145" s="8" t="s">
        <v>80</v>
      </c>
      <c r="H145" s="8" t="s">
        <v>640</v>
      </c>
      <c r="I145" s="8"/>
      <c r="J145" s="8" t="s">
        <v>1251</v>
      </c>
      <c r="K145" s="8" t="s">
        <v>290</v>
      </c>
      <c r="L145" s="49" t="s">
        <v>309</v>
      </c>
      <c r="M145" s="8"/>
      <c r="N145" s="8"/>
      <c r="O145" s="8"/>
      <c r="P145" s="8"/>
      <c r="Q145" s="8" t="s">
        <v>55</v>
      </c>
      <c r="R145" s="8" t="s">
        <v>56</v>
      </c>
      <c r="S145" s="8" t="s">
        <v>72</v>
      </c>
      <c r="T145" s="8" t="s">
        <v>1230</v>
      </c>
      <c r="U145" s="8" t="s">
        <v>1230</v>
      </c>
      <c r="V145" s="8" t="s">
        <v>212</v>
      </c>
      <c r="W145" s="8" t="s">
        <v>1145</v>
      </c>
    </row>
    <row r="146" spans="1:23" x14ac:dyDescent="0.2">
      <c r="A146" s="8" t="s">
        <v>641</v>
      </c>
      <c r="B146" s="8" t="s">
        <v>47</v>
      </c>
      <c r="C146" s="8" t="s">
        <v>642</v>
      </c>
      <c r="D146" s="8" t="s">
        <v>49</v>
      </c>
      <c r="E146" s="8" t="s">
        <v>1148</v>
      </c>
      <c r="F146" s="8" t="s">
        <v>300</v>
      </c>
      <c r="G146" s="8" t="s">
        <v>80</v>
      </c>
      <c r="H146" s="8" t="s">
        <v>1252</v>
      </c>
      <c r="I146" s="8"/>
      <c r="J146" s="8"/>
      <c r="K146" s="8" t="s">
        <v>314</v>
      </c>
      <c r="L146" s="49" t="s">
        <v>291</v>
      </c>
      <c r="M146" s="8"/>
      <c r="N146" s="8"/>
      <c r="O146" s="8"/>
      <c r="P146" s="8"/>
      <c r="Q146" s="8" t="s">
        <v>55</v>
      </c>
      <c r="R146" s="8" t="s">
        <v>56</v>
      </c>
      <c r="S146" s="8" t="s">
        <v>72</v>
      </c>
      <c r="T146" s="8" t="s">
        <v>1150</v>
      </c>
      <c r="U146" s="8" t="s">
        <v>1150</v>
      </c>
      <c r="V146" s="8" t="s">
        <v>1150</v>
      </c>
      <c r="W146" s="8" t="s">
        <v>1145</v>
      </c>
    </row>
    <row r="147" spans="1:23" x14ac:dyDescent="0.2">
      <c r="A147" s="8" t="s">
        <v>643</v>
      </c>
      <c r="B147" s="8" t="s">
        <v>47</v>
      </c>
      <c r="C147" s="8" t="s">
        <v>644</v>
      </c>
      <c r="D147" s="8" t="s">
        <v>49</v>
      </c>
      <c r="E147" s="8" t="s">
        <v>1253</v>
      </c>
      <c r="F147" s="8" t="s">
        <v>437</v>
      </c>
      <c r="G147" s="8" t="s">
        <v>1</v>
      </c>
      <c r="H147" s="8"/>
      <c r="I147" s="8"/>
      <c r="J147" s="8"/>
      <c r="K147" s="8" t="s">
        <v>579</v>
      </c>
      <c r="L147" s="49" t="s">
        <v>52</v>
      </c>
      <c r="M147" s="8"/>
      <c r="N147" s="8"/>
      <c r="O147" s="8"/>
      <c r="P147" s="8"/>
      <c r="Q147" s="8" t="s">
        <v>55</v>
      </c>
      <c r="R147" s="8" t="s">
        <v>56</v>
      </c>
      <c r="S147" s="8" t="s">
        <v>47</v>
      </c>
      <c r="T147" s="8" t="s">
        <v>212</v>
      </c>
      <c r="U147" s="8" t="s">
        <v>212</v>
      </c>
      <c r="V147" s="8" t="s">
        <v>212</v>
      </c>
      <c r="W147" s="8"/>
    </row>
    <row r="148" spans="1:23" x14ac:dyDescent="0.2">
      <c r="A148" s="8" t="s">
        <v>646</v>
      </c>
      <c r="B148" s="8" t="s">
        <v>47</v>
      </c>
      <c r="C148" s="8" t="s">
        <v>647</v>
      </c>
      <c r="D148" s="8" t="s">
        <v>49</v>
      </c>
      <c r="E148" s="8" t="s">
        <v>1163</v>
      </c>
      <c r="F148" s="8" t="s">
        <v>240</v>
      </c>
      <c r="G148" s="8" t="s">
        <v>73</v>
      </c>
      <c r="H148" s="8" t="s">
        <v>1254</v>
      </c>
      <c r="I148" s="8"/>
      <c r="J148" s="8"/>
      <c r="K148" s="8" t="s">
        <v>648</v>
      </c>
      <c r="L148" s="49" t="s">
        <v>52</v>
      </c>
      <c r="M148" s="8"/>
      <c r="N148" s="8"/>
      <c r="O148" s="8"/>
      <c r="P148" s="8"/>
      <c r="Q148" s="8" t="s">
        <v>55</v>
      </c>
      <c r="R148" s="8" t="s">
        <v>56</v>
      </c>
      <c r="S148" s="8" t="s">
        <v>72</v>
      </c>
      <c r="T148" s="8" t="s">
        <v>212</v>
      </c>
      <c r="U148" s="8" t="s">
        <v>212</v>
      </c>
      <c r="V148" s="8" t="s">
        <v>212</v>
      </c>
      <c r="W148" s="8" t="s">
        <v>1165</v>
      </c>
    </row>
    <row r="149" spans="1:23" x14ac:dyDescent="0.2">
      <c r="A149" s="8" t="s">
        <v>649</v>
      </c>
      <c r="B149" s="8" t="s">
        <v>47</v>
      </c>
      <c r="C149" s="8" t="s">
        <v>650</v>
      </c>
      <c r="D149" s="8" t="s">
        <v>49</v>
      </c>
      <c r="E149" s="8" t="s">
        <v>1166</v>
      </c>
      <c r="F149" s="8" t="s">
        <v>240</v>
      </c>
      <c r="G149" s="8" t="s">
        <v>73</v>
      </c>
      <c r="H149" s="8" t="s">
        <v>1254</v>
      </c>
      <c r="I149" s="8"/>
      <c r="J149" s="8"/>
      <c r="K149" s="8" t="s">
        <v>648</v>
      </c>
      <c r="L149" s="49" t="s">
        <v>52</v>
      </c>
      <c r="M149" s="8"/>
      <c r="N149" s="8"/>
      <c r="O149" s="8"/>
      <c r="P149" s="8"/>
      <c r="Q149" s="8" t="s">
        <v>55</v>
      </c>
      <c r="R149" s="8" t="s">
        <v>56</v>
      </c>
      <c r="S149" s="8" t="s">
        <v>72</v>
      </c>
      <c r="T149" s="8" t="s">
        <v>212</v>
      </c>
      <c r="U149" s="8" t="s">
        <v>212</v>
      </c>
      <c r="V149" s="8" t="s">
        <v>212</v>
      </c>
      <c r="W149" s="8" t="s">
        <v>1165</v>
      </c>
    </row>
    <row r="150" spans="1:23" x14ac:dyDescent="0.2">
      <c r="A150" s="8" t="s">
        <v>651</v>
      </c>
      <c r="B150" s="8" t="s">
        <v>47</v>
      </c>
      <c r="C150" s="8" t="s">
        <v>652</v>
      </c>
      <c r="D150" s="8" t="s">
        <v>49</v>
      </c>
      <c r="E150" s="8" t="s">
        <v>1167</v>
      </c>
      <c r="F150" s="8" t="s">
        <v>347</v>
      </c>
      <c r="G150" s="8" t="s">
        <v>73</v>
      </c>
      <c r="H150" s="8" t="s">
        <v>1255</v>
      </c>
      <c r="I150" s="8"/>
      <c r="J150" s="8" t="s">
        <v>1256</v>
      </c>
      <c r="K150" s="8" t="s">
        <v>579</v>
      </c>
      <c r="L150" s="49" t="s">
        <v>653</v>
      </c>
      <c r="M150" s="8"/>
      <c r="N150" s="8"/>
      <c r="O150" s="8"/>
      <c r="P150" s="8"/>
      <c r="Q150" s="8" t="s">
        <v>55</v>
      </c>
      <c r="R150" s="8" t="s">
        <v>56</v>
      </c>
      <c r="S150" s="8" t="s">
        <v>72</v>
      </c>
      <c r="T150" s="8" t="s">
        <v>212</v>
      </c>
      <c r="U150" s="8" t="s">
        <v>212</v>
      </c>
      <c r="V150" s="8" t="s">
        <v>212</v>
      </c>
      <c r="W150" s="8" t="s">
        <v>1165</v>
      </c>
    </row>
    <row r="151" spans="1:23" x14ac:dyDescent="0.2">
      <c r="A151" s="8" t="s">
        <v>654</v>
      </c>
      <c r="B151" s="8" t="s">
        <v>47</v>
      </c>
      <c r="C151" s="8" t="s">
        <v>655</v>
      </c>
      <c r="D151" s="8" t="s">
        <v>49</v>
      </c>
      <c r="E151" s="8" t="s">
        <v>1170</v>
      </c>
      <c r="F151" s="8" t="s">
        <v>347</v>
      </c>
      <c r="G151" s="8" t="s">
        <v>73</v>
      </c>
      <c r="H151" s="8" t="s">
        <v>1255</v>
      </c>
      <c r="I151" s="8"/>
      <c r="J151" s="8"/>
      <c r="K151" s="8" t="s">
        <v>579</v>
      </c>
      <c r="L151" s="49" t="s">
        <v>653</v>
      </c>
      <c r="M151" s="8"/>
      <c r="N151" s="8"/>
      <c r="O151" s="8"/>
      <c r="P151" s="8"/>
      <c r="Q151" s="8" t="s">
        <v>55</v>
      </c>
      <c r="R151" s="8" t="s">
        <v>56</v>
      </c>
      <c r="S151" s="8" t="s">
        <v>72</v>
      </c>
      <c r="T151" s="8" t="s">
        <v>1257</v>
      </c>
      <c r="U151" s="8" t="s">
        <v>1257</v>
      </c>
      <c r="V151" s="8" t="s">
        <v>1257</v>
      </c>
      <c r="W151" s="8" t="s">
        <v>1165</v>
      </c>
    </row>
    <row r="152" spans="1:23" x14ac:dyDescent="0.2">
      <c r="A152" s="8" t="s">
        <v>656</v>
      </c>
      <c r="B152" s="8" t="s">
        <v>47</v>
      </c>
      <c r="C152" s="8" t="s">
        <v>657</v>
      </c>
      <c r="D152" s="8" t="s">
        <v>49</v>
      </c>
      <c r="E152" s="8" t="s">
        <v>1172</v>
      </c>
      <c r="F152" s="8" t="s">
        <v>347</v>
      </c>
      <c r="G152" s="8" t="s">
        <v>73</v>
      </c>
      <c r="H152" s="8" t="s">
        <v>1255</v>
      </c>
      <c r="I152" s="8"/>
      <c r="J152" s="8"/>
      <c r="K152" s="8" t="s">
        <v>579</v>
      </c>
      <c r="L152" s="49" t="s">
        <v>653</v>
      </c>
      <c r="M152" s="8"/>
      <c r="N152" s="8"/>
      <c r="O152" s="8"/>
      <c r="P152" s="8"/>
      <c r="Q152" s="8" t="s">
        <v>55</v>
      </c>
      <c r="R152" s="8" t="s">
        <v>56</v>
      </c>
      <c r="S152" s="8" t="s">
        <v>72</v>
      </c>
      <c r="T152" s="8" t="s">
        <v>1257</v>
      </c>
      <c r="U152" s="8" t="s">
        <v>1257</v>
      </c>
      <c r="V152" s="8" t="s">
        <v>1257</v>
      </c>
      <c r="W152" s="8" t="s">
        <v>1165</v>
      </c>
    </row>
    <row r="153" spans="1:23" x14ac:dyDescent="0.2">
      <c r="A153" s="8" t="s">
        <v>658</v>
      </c>
      <c r="B153" s="8" t="s">
        <v>47</v>
      </c>
      <c r="C153" s="8" t="s">
        <v>659</v>
      </c>
      <c r="D153" s="8" t="s">
        <v>49</v>
      </c>
      <c r="E153" s="8" t="s">
        <v>1258</v>
      </c>
      <c r="F153" s="8" t="s">
        <v>361</v>
      </c>
      <c r="G153" s="8" t="s">
        <v>1</v>
      </c>
      <c r="H153" s="8" t="s">
        <v>661</v>
      </c>
      <c r="I153" s="8"/>
      <c r="J153" s="8" t="s">
        <v>1259</v>
      </c>
      <c r="K153" s="8" t="s">
        <v>571</v>
      </c>
      <c r="L153" s="49" t="s">
        <v>587</v>
      </c>
      <c r="M153" s="8"/>
      <c r="N153" s="8"/>
      <c r="O153" s="8"/>
      <c r="P153" s="8"/>
      <c r="Q153" s="8" t="s">
        <v>55</v>
      </c>
      <c r="R153" s="8" t="s">
        <v>56</v>
      </c>
      <c r="S153" s="8" t="s">
        <v>72</v>
      </c>
      <c r="T153" s="8" t="s">
        <v>212</v>
      </c>
      <c r="U153" s="8" t="s">
        <v>212</v>
      </c>
      <c r="V153" s="8" t="s">
        <v>212</v>
      </c>
      <c r="W153" s="8" t="s">
        <v>1134</v>
      </c>
    </row>
    <row r="154" spans="1:23" x14ac:dyDescent="0.2">
      <c r="A154" s="8" t="s">
        <v>662</v>
      </c>
      <c r="B154" s="8" t="s">
        <v>47</v>
      </c>
      <c r="C154" s="8" t="s">
        <v>663</v>
      </c>
      <c r="D154" s="8" t="s">
        <v>49</v>
      </c>
      <c r="E154" s="8" t="s">
        <v>1260</v>
      </c>
      <c r="F154" s="8" t="s">
        <v>665</v>
      </c>
      <c r="G154" s="8" t="s">
        <v>57</v>
      </c>
      <c r="H154" s="8"/>
      <c r="I154" s="8"/>
      <c r="J154" s="8"/>
      <c r="K154" s="8" t="s">
        <v>301</v>
      </c>
      <c r="L154" s="49" t="s">
        <v>587</v>
      </c>
      <c r="M154" s="8"/>
      <c r="N154" s="8"/>
      <c r="O154" s="8"/>
      <c r="P154" s="8"/>
      <c r="Q154" s="8" t="s">
        <v>55</v>
      </c>
      <c r="R154" s="8" t="s">
        <v>56</v>
      </c>
      <c r="S154" s="8" t="s">
        <v>47</v>
      </c>
      <c r="T154" s="8" t="s">
        <v>1230</v>
      </c>
      <c r="U154" s="8" t="s">
        <v>1236</v>
      </c>
      <c r="V154" s="8" t="s">
        <v>1236</v>
      </c>
      <c r="W154" s="8"/>
    </row>
    <row r="155" spans="1:23" x14ac:dyDescent="0.2">
      <c r="A155" s="8" t="s">
        <v>667</v>
      </c>
      <c r="B155" s="8" t="s">
        <v>47</v>
      </c>
      <c r="C155" s="8" t="s">
        <v>668</v>
      </c>
      <c r="D155" s="8" t="s">
        <v>49</v>
      </c>
      <c r="E155" s="8" t="s">
        <v>1261</v>
      </c>
      <c r="F155" s="8" t="s">
        <v>194</v>
      </c>
      <c r="G155" s="8" t="s">
        <v>1</v>
      </c>
      <c r="H155" s="8" t="s">
        <v>670</v>
      </c>
      <c r="I155" s="8"/>
      <c r="J155" s="8" t="s">
        <v>1262</v>
      </c>
      <c r="K155" s="8" t="s">
        <v>571</v>
      </c>
      <c r="L155" s="49" t="s">
        <v>572</v>
      </c>
      <c r="M155" s="8"/>
      <c r="N155" s="8"/>
      <c r="O155" s="8"/>
      <c r="P155" s="8"/>
      <c r="Q155" s="8" t="s">
        <v>55</v>
      </c>
      <c r="R155" s="8" t="s">
        <v>56</v>
      </c>
      <c r="S155" s="8" t="s">
        <v>72</v>
      </c>
      <c r="T155" s="8" t="s">
        <v>1236</v>
      </c>
      <c r="U155" s="8" t="s">
        <v>1236</v>
      </c>
      <c r="V155" s="8" t="s">
        <v>212</v>
      </c>
      <c r="W155" s="8" t="s">
        <v>1129</v>
      </c>
    </row>
    <row r="156" spans="1:23" x14ac:dyDescent="0.2">
      <c r="A156" s="8" t="s">
        <v>672</v>
      </c>
      <c r="B156" s="8" t="s">
        <v>47</v>
      </c>
      <c r="C156" s="8" t="s">
        <v>673</v>
      </c>
      <c r="D156" s="8" t="s">
        <v>49</v>
      </c>
      <c r="E156" s="8" t="s">
        <v>1263</v>
      </c>
      <c r="F156" s="8" t="s">
        <v>578</v>
      </c>
      <c r="G156" s="8" t="s">
        <v>1</v>
      </c>
      <c r="H156" s="8" t="s">
        <v>667</v>
      </c>
      <c r="I156" s="8"/>
      <c r="J156" s="8"/>
      <c r="K156" s="8" t="s">
        <v>579</v>
      </c>
      <c r="L156" s="49" t="s">
        <v>580</v>
      </c>
      <c r="M156" s="8"/>
      <c r="N156" s="8"/>
      <c r="O156" s="8"/>
      <c r="P156" s="8"/>
      <c r="Q156" s="8" t="s">
        <v>55</v>
      </c>
      <c r="R156" s="8" t="s">
        <v>56</v>
      </c>
      <c r="S156" s="8" t="s">
        <v>72</v>
      </c>
      <c r="T156" s="8" t="s">
        <v>1234</v>
      </c>
      <c r="U156" s="8" t="s">
        <v>1234</v>
      </c>
      <c r="V156" s="8" t="s">
        <v>1234</v>
      </c>
      <c r="W156" s="8" t="s">
        <v>1129</v>
      </c>
    </row>
    <row r="157" spans="1:23" x14ac:dyDescent="0.2">
      <c r="A157" s="8" t="s">
        <v>675</v>
      </c>
      <c r="B157" s="8" t="s">
        <v>47</v>
      </c>
      <c r="C157" s="8" t="s">
        <v>676</v>
      </c>
      <c r="D157" s="8" t="s">
        <v>49</v>
      </c>
      <c r="E157" s="8" t="s">
        <v>1264</v>
      </c>
      <c r="F157" s="8" t="s">
        <v>678</v>
      </c>
      <c r="G157" s="8" t="s">
        <v>1</v>
      </c>
      <c r="H157" s="8"/>
      <c r="I157" s="8"/>
      <c r="J157" s="8"/>
      <c r="K157" s="8" t="s">
        <v>270</v>
      </c>
      <c r="L157" s="49" t="s">
        <v>587</v>
      </c>
      <c r="M157" s="8"/>
      <c r="N157" s="8"/>
      <c r="O157" s="8"/>
      <c r="P157" s="8"/>
      <c r="Q157" s="8" t="s">
        <v>55</v>
      </c>
      <c r="R157" s="8" t="s">
        <v>56</v>
      </c>
      <c r="S157" s="8" t="s">
        <v>47</v>
      </c>
      <c r="T157" s="8" t="s">
        <v>1265</v>
      </c>
      <c r="U157" s="8" t="s">
        <v>1236</v>
      </c>
      <c r="V157" s="8" t="s">
        <v>1236</v>
      </c>
      <c r="W157" s="8"/>
    </row>
    <row r="158" spans="1:23" x14ac:dyDescent="0.2">
      <c r="A158" s="8" t="s">
        <v>679</v>
      </c>
      <c r="B158" s="8" t="s">
        <v>47</v>
      </c>
      <c r="C158" s="8" t="s">
        <v>680</v>
      </c>
      <c r="D158" s="8" t="s">
        <v>49</v>
      </c>
      <c r="E158" s="8" t="s">
        <v>1132</v>
      </c>
      <c r="F158" s="8" t="s">
        <v>194</v>
      </c>
      <c r="G158" s="8" t="s">
        <v>73</v>
      </c>
      <c r="H158" s="8" t="s">
        <v>681</v>
      </c>
      <c r="I158" s="8"/>
      <c r="J158" s="8"/>
      <c r="K158" s="8" t="s">
        <v>592</v>
      </c>
      <c r="L158" s="49" t="s">
        <v>587</v>
      </c>
      <c r="M158" s="8"/>
      <c r="N158" s="8"/>
      <c r="O158" s="8"/>
      <c r="P158" s="8"/>
      <c r="Q158" s="8" t="s">
        <v>55</v>
      </c>
      <c r="R158" s="8" t="s">
        <v>56</v>
      </c>
      <c r="S158" s="8" t="s">
        <v>72</v>
      </c>
      <c r="T158" s="8" t="s">
        <v>1236</v>
      </c>
      <c r="U158" s="8" t="s">
        <v>1236</v>
      </c>
      <c r="V158" s="8" t="s">
        <v>1236</v>
      </c>
      <c r="W158" s="8" t="s">
        <v>1134</v>
      </c>
    </row>
    <row r="159" spans="1:23" x14ac:dyDescent="0.2">
      <c r="A159" s="8" t="s">
        <v>682</v>
      </c>
      <c r="B159" s="8" t="s">
        <v>47</v>
      </c>
      <c r="C159" s="8" t="s">
        <v>683</v>
      </c>
      <c r="D159" s="8" t="s">
        <v>49</v>
      </c>
      <c r="E159" s="8" t="s">
        <v>1135</v>
      </c>
      <c r="F159" s="8" t="s">
        <v>240</v>
      </c>
      <c r="G159" s="8" t="s">
        <v>73</v>
      </c>
      <c r="H159" s="8" t="s">
        <v>1266</v>
      </c>
      <c r="I159" s="8"/>
      <c r="J159" s="8" t="s">
        <v>684</v>
      </c>
      <c r="K159" s="8" t="s">
        <v>596</v>
      </c>
      <c r="L159" s="49" t="s">
        <v>597</v>
      </c>
      <c r="M159" s="8"/>
      <c r="N159" s="8"/>
      <c r="O159" s="8"/>
      <c r="P159" s="8"/>
      <c r="Q159" s="8" t="s">
        <v>55</v>
      </c>
      <c r="R159" s="8" t="s">
        <v>56</v>
      </c>
      <c r="S159" s="8" t="s">
        <v>72</v>
      </c>
      <c r="T159" s="8" t="s">
        <v>1236</v>
      </c>
      <c r="U159" s="8" t="s">
        <v>1236</v>
      </c>
      <c r="V159" s="8" t="s">
        <v>212</v>
      </c>
      <c r="W159" s="8" t="s">
        <v>1129</v>
      </c>
    </row>
    <row r="160" spans="1:23" x14ac:dyDescent="0.2">
      <c r="A160" s="8" t="s">
        <v>685</v>
      </c>
      <c r="B160" s="8" t="s">
        <v>47</v>
      </c>
      <c r="C160" s="8" t="s">
        <v>686</v>
      </c>
      <c r="D160" s="8" t="s">
        <v>49</v>
      </c>
      <c r="E160" s="8" t="s">
        <v>1137</v>
      </c>
      <c r="F160" s="8" t="s">
        <v>194</v>
      </c>
      <c r="G160" s="8" t="s">
        <v>73</v>
      </c>
      <c r="H160" s="8" t="s">
        <v>1266</v>
      </c>
      <c r="I160" s="8"/>
      <c r="J160" s="8" t="s">
        <v>687</v>
      </c>
      <c r="K160" s="8" t="s">
        <v>596</v>
      </c>
      <c r="L160" s="49" t="s">
        <v>580</v>
      </c>
      <c r="M160" s="8"/>
      <c r="N160" s="8"/>
      <c r="O160" s="8"/>
      <c r="P160" s="8"/>
      <c r="Q160" s="8" t="s">
        <v>55</v>
      </c>
      <c r="R160" s="8" t="s">
        <v>56</v>
      </c>
      <c r="S160" s="8" t="s">
        <v>72</v>
      </c>
      <c r="T160" s="8" t="s">
        <v>1236</v>
      </c>
      <c r="U160" s="8" t="s">
        <v>1236</v>
      </c>
      <c r="V160" s="8" t="s">
        <v>212</v>
      </c>
      <c r="W160" s="8" t="s">
        <v>1129</v>
      </c>
    </row>
    <row r="161" spans="1:23" x14ac:dyDescent="0.2">
      <c r="A161" s="8" t="s">
        <v>688</v>
      </c>
      <c r="B161" s="8" t="s">
        <v>47</v>
      </c>
      <c r="C161" s="8" t="s">
        <v>689</v>
      </c>
      <c r="D161" s="8" t="s">
        <v>49</v>
      </c>
      <c r="E161" s="8" t="s">
        <v>1138</v>
      </c>
      <c r="F161" s="8" t="s">
        <v>194</v>
      </c>
      <c r="G161" s="8" t="s">
        <v>73</v>
      </c>
      <c r="H161" s="8" t="s">
        <v>685</v>
      </c>
      <c r="I161" s="8"/>
      <c r="J161" s="8" t="s">
        <v>684</v>
      </c>
      <c r="K161" s="8" t="s">
        <v>605</v>
      </c>
      <c r="L161" s="49" t="s">
        <v>597</v>
      </c>
      <c r="M161" s="8"/>
      <c r="N161" s="8"/>
      <c r="O161" s="8"/>
      <c r="P161" s="8"/>
      <c r="Q161" s="8" t="s">
        <v>55</v>
      </c>
      <c r="R161" s="8" t="s">
        <v>56</v>
      </c>
      <c r="S161" s="8" t="s">
        <v>72</v>
      </c>
      <c r="T161" s="8" t="s">
        <v>1236</v>
      </c>
      <c r="U161" s="8" t="s">
        <v>1236</v>
      </c>
      <c r="V161" s="8" t="s">
        <v>212</v>
      </c>
      <c r="W161" s="8" t="s">
        <v>1134</v>
      </c>
    </row>
    <row r="162" spans="1:23" x14ac:dyDescent="0.2">
      <c r="A162" s="8" t="s">
        <v>690</v>
      </c>
      <c r="B162" s="8" t="s">
        <v>47</v>
      </c>
      <c r="C162" s="8" t="s">
        <v>691</v>
      </c>
      <c r="D162" s="8" t="s">
        <v>49</v>
      </c>
      <c r="E162" s="8" t="s">
        <v>1139</v>
      </c>
      <c r="F162" s="8" t="s">
        <v>194</v>
      </c>
      <c r="G162" s="8" t="s">
        <v>73</v>
      </c>
      <c r="H162" s="8" t="s">
        <v>685</v>
      </c>
      <c r="I162" s="8"/>
      <c r="J162" s="8" t="s">
        <v>684</v>
      </c>
      <c r="K162" s="8" t="s">
        <v>605</v>
      </c>
      <c r="L162" s="49" t="s">
        <v>597</v>
      </c>
      <c r="M162" s="8"/>
      <c r="N162" s="8"/>
      <c r="O162" s="8"/>
      <c r="P162" s="8"/>
      <c r="Q162" s="8" t="s">
        <v>55</v>
      </c>
      <c r="R162" s="8" t="s">
        <v>56</v>
      </c>
      <c r="S162" s="8" t="s">
        <v>72</v>
      </c>
      <c r="T162" s="8" t="s">
        <v>1236</v>
      </c>
      <c r="U162" s="8" t="s">
        <v>1236</v>
      </c>
      <c r="V162" s="8" t="s">
        <v>212</v>
      </c>
      <c r="W162" s="8" t="s">
        <v>1129</v>
      </c>
    </row>
    <row r="163" spans="1:23" x14ac:dyDescent="0.2">
      <c r="A163" s="8" t="s">
        <v>692</v>
      </c>
      <c r="B163" s="8" t="s">
        <v>47</v>
      </c>
      <c r="C163" s="8" t="s">
        <v>693</v>
      </c>
      <c r="D163" s="8" t="s">
        <v>49</v>
      </c>
      <c r="E163" s="8" t="s">
        <v>1140</v>
      </c>
      <c r="F163" s="8" t="s">
        <v>194</v>
      </c>
      <c r="G163" s="8" t="s">
        <v>73</v>
      </c>
      <c r="H163" s="8" t="s">
        <v>681</v>
      </c>
      <c r="I163" s="8"/>
      <c r="J163" s="8"/>
      <c r="K163" s="8" t="s">
        <v>592</v>
      </c>
      <c r="L163" s="49" t="s">
        <v>587</v>
      </c>
      <c r="M163" s="8"/>
      <c r="N163" s="8"/>
      <c r="O163" s="8"/>
      <c r="P163" s="8"/>
      <c r="Q163" s="8" t="s">
        <v>55</v>
      </c>
      <c r="R163" s="8" t="s">
        <v>56</v>
      </c>
      <c r="S163" s="8" t="s">
        <v>72</v>
      </c>
      <c r="T163" s="8" t="s">
        <v>1236</v>
      </c>
      <c r="U163" s="8" t="s">
        <v>1236</v>
      </c>
      <c r="V163" s="8" t="s">
        <v>1236</v>
      </c>
      <c r="W163" s="8" t="s">
        <v>1129</v>
      </c>
    </row>
    <row r="164" spans="1:23" x14ac:dyDescent="0.2">
      <c r="A164" s="8" t="s">
        <v>694</v>
      </c>
      <c r="B164" s="8" t="s">
        <v>47</v>
      </c>
      <c r="C164" s="8" t="s">
        <v>695</v>
      </c>
      <c r="D164" s="8" t="s">
        <v>49</v>
      </c>
      <c r="E164" s="8" t="s">
        <v>1141</v>
      </c>
      <c r="F164" s="8" t="s">
        <v>83</v>
      </c>
      <c r="G164" s="8" t="s">
        <v>73</v>
      </c>
      <c r="H164" s="8"/>
      <c r="I164" s="8"/>
      <c r="J164" s="8"/>
      <c r="K164" s="8" t="s">
        <v>270</v>
      </c>
      <c r="L164" s="49" t="s">
        <v>271</v>
      </c>
      <c r="M164" s="8"/>
      <c r="N164" s="8"/>
      <c r="O164" s="8"/>
      <c r="P164" s="8"/>
      <c r="Q164" s="8" t="s">
        <v>55</v>
      </c>
      <c r="R164" s="8" t="s">
        <v>56</v>
      </c>
      <c r="S164" s="8" t="s">
        <v>47</v>
      </c>
      <c r="T164" s="8" t="s">
        <v>1267</v>
      </c>
      <c r="U164" s="8" t="s">
        <v>1267</v>
      </c>
      <c r="V164" s="8" t="s">
        <v>1267</v>
      </c>
      <c r="W164" s="8"/>
    </row>
    <row r="165" spans="1:23" x14ac:dyDescent="0.2">
      <c r="A165" s="8" t="s">
        <v>696</v>
      </c>
      <c r="B165" s="8" t="s">
        <v>47</v>
      </c>
      <c r="C165" s="8" t="s">
        <v>697</v>
      </c>
      <c r="D165" s="8" t="s">
        <v>49</v>
      </c>
      <c r="E165" s="8" t="s">
        <v>1142</v>
      </c>
      <c r="F165" s="8" t="s">
        <v>83</v>
      </c>
      <c r="G165" s="8" t="s">
        <v>80</v>
      </c>
      <c r="H165" s="8" t="s">
        <v>1240</v>
      </c>
      <c r="I165" s="8"/>
      <c r="J165" s="8"/>
      <c r="K165" s="8" t="s">
        <v>270</v>
      </c>
      <c r="L165" s="49" t="s">
        <v>271</v>
      </c>
      <c r="M165" s="8"/>
      <c r="N165" s="8"/>
      <c r="O165" s="8"/>
      <c r="P165" s="8"/>
      <c r="Q165" s="8" t="s">
        <v>55</v>
      </c>
      <c r="R165" s="8" t="s">
        <v>56</v>
      </c>
      <c r="S165" s="8" t="s">
        <v>72</v>
      </c>
      <c r="T165" s="8" t="s">
        <v>1267</v>
      </c>
      <c r="U165" s="8" t="s">
        <v>1267</v>
      </c>
      <c r="V165" s="8" t="s">
        <v>1267</v>
      </c>
      <c r="W165" s="8" t="s">
        <v>1145</v>
      </c>
    </row>
    <row r="166" spans="1:23" x14ac:dyDescent="0.2">
      <c r="A166" s="8" t="s">
        <v>698</v>
      </c>
      <c r="B166" s="8" t="s">
        <v>47</v>
      </c>
      <c r="C166" s="8" t="s">
        <v>699</v>
      </c>
      <c r="D166" s="8" t="s">
        <v>49</v>
      </c>
      <c r="E166" s="8" t="s">
        <v>1268</v>
      </c>
      <c r="F166" s="8" t="s">
        <v>701</v>
      </c>
      <c r="G166" s="8" t="s">
        <v>1</v>
      </c>
      <c r="H166" s="8"/>
      <c r="I166" s="8"/>
      <c r="J166" s="8"/>
      <c r="K166" s="8" t="s">
        <v>301</v>
      </c>
      <c r="L166" s="49" t="s">
        <v>702</v>
      </c>
      <c r="M166" s="8"/>
      <c r="N166" s="8"/>
      <c r="O166" s="8"/>
      <c r="P166" s="8"/>
      <c r="Q166" s="8" t="s">
        <v>55</v>
      </c>
      <c r="R166" s="8" t="s">
        <v>56</v>
      </c>
      <c r="S166" s="8" t="s">
        <v>47</v>
      </c>
      <c r="T166" s="8" t="s">
        <v>1230</v>
      </c>
      <c r="U166" s="8" t="s">
        <v>1230</v>
      </c>
      <c r="V166" s="8" t="s">
        <v>1230</v>
      </c>
      <c r="W166" s="8"/>
    </row>
    <row r="167" spans="1:23" x14ac:dyDescent="0.2">
      <c r="A167" s="8" t="s">
        <v>704</v>
      </c>
      <c r="B167" s="8" t="s">
        <v>47</v>
      </c>
      <c r="C167" s="8" t="s">
        <v>705</v>
      </c>
      <c r="D167" s="8" t="s">
        <v>49</v>
      </c>
      <c r="E167" s="8" t="s">
        <v>1151</v>
      </c>
      <c r="F167" s="8" t="s">
        <v>300</v>
      </c>
      <c r="G167" s="8" t="s">
        <v>73</v>
      </c>
      <c r="H167" s="8"/>
      <c r="I167" s="8"/>
      <c r="J167" s="8"/>
      <c r="K167" s="8" t="s">
        <v>301</v>
      </c>
      <c r="L167" s="49" t="s">
        <v>302</v>
      </c>
      <c r="M167" s="8"/>
      <c r="N167" s="8"/>
      <c r="O167" s="8"/>
      <c r="P167" s="8"/>
      <c r="Q167" s="8" t="s">
        <v>55</v>
      </c>
      <c r="R167" s="8" t="s">
        <v>56</v>
      </c>
      <c r="S167" s="8" t="s">
        <v>47</v>
      </c>
      <c r="T167" s="8" t="s">
        <v>1269</v>
      </c>
      <c r="U167" s="8" t="s">
        <v>1269</v>
      </c>
      <c r="V167" s="8" t="s">
        <v>1269</v>
      </c>
      <c r="W167" s="8"/>
    </row>
    <row r="168" spans="1:23" x14ac:dyDescent="0.2">
      <c r="A168" s="8" t="s">
        <v>707</v>
      </c>
      <c r="B168" s="8" t="s">
        <v>47</v>
      </c>
      <c r="C168" s="8" t="s">
        <v>708</v>
      </c>
      <c r="D168" s="8" t="s">
        <v>49</v>
      </c>
      <c r="E168" s="8" t="s">
        <v>1142</v>
      </c>
      <c r="F168" s="8" t="s">
        <v>300</v>
      </c>
      <c r="G168" s="8" t="s">
        <v>80</v>
      </c>
      <c r="H168" s="8" t="s">
        <v>1245</v>
      </c>
      <c r="I168" s="8"/>
      <c r="J168" s="8"/>
      <c r="K168" s="8" t="s">
        <v>301</v>
      </c>
      <c r="L168" s="49" t="s">
        <v>302</v>
      </c>
      <c r="M168" s="8"/>
      <c r="N168" s="8"/>
      <c r="O168" s="8"/>
      <c r="P168" s="8"/>
      <c r="Q168" s="8" t="s">
        <v>55</v>
      </c>
      <c r="R168" s="8" t="s">
        <v>56</v>
      </c>
      <c r="S168" s="8" t="s">
        <v>72</v>
      </c>
      <c r="T168" s="8" t="s">
        <v>1269</v>
      </c>
      <c r="U168" s="8" t="s">
        <v>1269</v>
      </c>
      <c r="V168" s="8" t="s">
        <v>1269</v>
      </c>
      <c r="W168" s="8" t="s">
        <v>1145</v>
      </c>
    </row>
    <row r="169" spans="1:23" x14ac:dyDescent="0.2">
      <c r="A169" s="8" t="s">
        <v>709</v>
      </c>
      <c r="B169" s="8" t="s">
        <v>47</v>
      </c>
      <c r="C169" s="8" t="s">
        <v>710</v>
      </c>
      <c r="D169" s="8" t="s">
        <v>49</v>
      </c>
      <c r="E169" s="8" t="s">
        <v>1156</v>
      </c>
      <c r="F169" s="8" t="s">
        <v>300</v>
      </c>
      <c r="G169" s="8" t="s">
        <v>73</v>
      </c>
      <c r="H169" s="8"/>
      <c r="I169" s="8"/>
      <c r="J169" s="8"/>
      <c r="K169" s="8" t="s">
        <v>301</v>
      </c>
      <c r="L169" s="49" t="s">
        <v>302</v>
      </c>
      <c r="M169" s="8"/>
      <c r="N169" s="8"/>
      <c r="O169" s="8"/>
      <c r="P169" s="8"/>
      <c r="Q169" s="8" t="s">
        <v>55</v>
      </c>
      <c r="R169" s="8" t="s">
        <v>56</v>
      </c>
      <c r="S169" s="8" t="s">
        <v>47</v>
      </c>
      <c r="T169" s="8" t="s">
        <v>1230</v>
      </c>
      <c r="U169" s="8" t="s">
        <v>1230</v>
      </c>
      <c r="V169" s="8" t="s">
        <v>1230</v>
      </c>
      <c r="W169" s="8"/>
    </row>
    <row r="170" spans="1:23" x14ac:dyDescent="0.2">
      <c r="A170" s="8" t="s">
        <v>712</v>
      </c>
      <c r="B170" s="8" t="s">
        <v>47</v>
      </c>
      <c r="C170" s="8" t="s">
        <v>713</v>
      </c>
      <c r="D170" s="8" t="s">
        <v>49</v>
      </c>
      <c r="E170" s="8" t="s">
        <v>1142</v>
      </c>
      <c r="F170" s="8" t="s">
        <v>300</v>
      </c>
      <c r="G170" s="8" t="s">
        <v>80</v>
      </c>
      <c r="H170" s="8" t="s">
        <v>1249</v>
      </c>
      <c r="I170" s="8"/>
      <c r="J170" s="8" t="s">
        <v>1270</v>
      </c>
      <c r="K170" s="8" t="s">
        <v>301</v>
      </c>
      <c r="L170" s="49" t="s">
        <v>302</v>
      </c>
      <c r="M170" s="8"/>
      <c r="N170" s="8"/>
      <c r="O170" s="8"/>
      <c r="P170" s="8"/>
      <c r="Q170" s="8" t="s">
        <v>55</v>
      </c>
      <c r="R170" s="8" t="s">
        <v>56</v>
      </c>
      <c r="S170" s="8" t="s">
        <v>72</v>
      </c>
      <c r="T170" s="8" t="s">
        <v>1230</v>
      </c>
      <c r="U170" s="8" t="s">
        <v>1230</v>
      </c>
      <c r="V170" s="8" t="s">
        <v>212</v>
      </c>
      <c r="W170" s="8" t="s">
        <v>1145</v>
      </c>
    </row>
    <row r="171" spans="1:23" x14ac:dyDescent="0.2">
      <c r="A171" s="8" t="s">
        <v>714</v>
      </c>
      <c r="B171" s="8" t="s">
        <v>47</v>
      </c>
      <c r="C171" s="8" t="s">
        <v>715</v>
      </c>
      <c r="D171" s="8" t="s">
        <v>49</v>
      </c>
      <c r="E171" s="8" t="s">
        <v>1271</v>
      </c>
      <c r="F171" s="8" t="s">
        <v>578</v>
      </c>
      <c r="G171" s="8" t="s">
        <v>73</v>
      </c>
      <c r="H171" s="8" t="s">
        <v>1272</v>
      </c>
      <c r="I171" s="8"/>
      <c r="J171" s="8"/>
      <c r="K171" s="8" t="s">
        <v>717</v>
      </c>
      <c r="L171" s="49" t="s">
        <v>702</v>
      </c>
      <c r="M171" s="8"/>
      <c r="N171" s="8"/>
      <c r="O171" s="8"/>
      <c r="P171" s="8"/>
      <c r="Q171" s="8" t="s">
        <v>55</v>
      </c>
      <c r="R171" s="8" t="s">
        <v>56</v>
      </c>
      <c r="S171" s="8" t="s">
        <v>72</v>
      </c>
      <c r="T171" s="8" t="s">
        <v>1230</v>
      </c>
      <c r="U171" s="8" t="s">
        <v>1230</v>
      </c>
      <c r="V171" s="8" t="s">
        <v>1230</v>
      </c>
      <c r="W171" s="8" t="s">
        <v>1145</v>
      </c>
    </row>
    <row r="172" spans="1:23" x14ac:dyDescent="0.2">
      <c r="A172" s="8" t="s">
        <v>719</v>
      </c>
      <c r="B172" s="8" t="s">
        <v>47</v>
      </c>
      <c r="C172" s="8" t="s">
        <v>720</v>
      </c>
      <c r="D172" s="8" t="s">
        <v>49</v>
      </c>
      <c r="E172" s="8" t="s">
        <v>1273</v>
      </c>
      <c r="F172" s="8" t="s">
        <v>437</v>
      </c>
      <c r="G172" s="8" t="s">
        <v>1</v>
      </c>
      <c r="H172" s="8"/>
      <c r="I172" s="8"/>
      <c r="J172" s="8"/>
      <c r="K172" s="8" t="s">
        <v>571</v>
      </c>
      <c r="L172" s="49" t="s">
        <v>722</v>
      </c>
      <c r="M172" s="8"/>
      <c r="N172" s="8"/>
      <c r="O172" s="8"/>
      <c r="P172" s="8"/>
      <c r="Q172" s="8" t="s">
        <v>55</v>
      </c>
      <c r="R172" s="8" t="s">
        <v>56</v>
      </c>
      <c r="S172" s="8" t="s">
        <v>47</v>
      </c>
      <c r="T172" s="8" t="s">
        <v>194</v>
      </c>
      <c r="U172" s="8" t="s">
        <v>194</v>
      </c>
      <c r="V172" s="8" t="s">
        <v>194</v>
      </c>
      <c r="W172" s="8"/>
    </row>
    <row r="173" spans="1:23" x14ac:dyDescent="0.2">
      <c r="A173" s="8" t="s">
        <v>723</v>
      </c>
      <c r="B173" s="8" t="s">
        <v>47</v>
      </c>
      <c r="C173" s="8" t="s">
        <v>724</v>
      </c>
      <c r="D173" s="8" t="s">
        <v>49</v>
      </c>
      <c r="E173" s="8" t="s">
        <v>1163</v>
      </c>
      <c r="F173" s="8" t="s">
        <v>240</v>
      </c>
      <c r="G173" s="8" t="s">
        <v>73</v>
      </c>
      <c r="H173" s="8" t="s">
        <v>1274</v>
      </c>
      <c r="I173" s="8"/>
      <c r="J173" s="8"/>
      <c r="K173" s="8" t="s">
        <v>726</v>
      </c>
      <c r="L173" s="49" t="s">
        <v>722</v>
      </c>
      <c r="M173" s="8"/>
      <c r="N173" s="8"/>
      <c r="O173" s="8"/>
      <c r="P173" s="8"/>
      <c r="Q173" s="8" t="s">
        <v>55</v>
      </c>
      <c r="R173" s="8" t="s">
        <v>56</v>
      </c>
      <c r="S173" s="8" t="s">
        <v>72</v>
      </c>
      <c r="T173" s="8" t="s">
        <v>194</v>
      </c>
      <c r="U173" s="8" t="s">
        <v>194</v>
      </c>
      <c r="V173" s="8" t="s">
        <v>194</v>
      </c>
      <c r="W173" s="8" t="s">
        <v>1165</v>
      </c>
    </row>
    <row r="174" spans="1:23" x14ac:dyDescent="0.2">
      <c r="A174" s="8" t="s">
        <v>727</v>
      </c>
      <c r="B174" s="8" t="s">
        <v>47</v>
      </c>
      <c r="C174" s="8" t="s">
        <v>728</v>
      </c>
      <c r="D174" s="8" t="s">
        <v>49</v>
      </c>
      <c r="E174" s="8" t="s">
        <v>1166</v>
      </c>
      <c r="F174" s="8" t="s">
        <v>240</v>
      </c>
      <c r="G174" s="8" t="s">
        <v>73</v>
      </c>
      <c r="H174" s="8" t="s">
        <v>1274</v>
      </c>
      <c r="I174" s="8"/>
      <c r="J174" s="8"/>
      <c r="K174" s="8" t="s">
        <v>726</v>
      </c>
      <c r="L174" s="49" t="s">
        <v>722</v>
      </c>
      <c r="M174" s="8"/>
      <c r="N174" s="8"/>
      <c r="O174" s="8"/>
      <c r="P174" s="8"/>
      <c r="Q174" s="8" t="s">
        <v>55</v>
      </c>
      <c r="R174" s="8" t="s">
        <v>56</v>
      </c>
      <c r="S174" s="8" t="s">
        <v>72</v>
      </c>
      <c r="T174" s="8" t="s">
        <v>194</v>
      </c>
      <c r="U174" s="8" t="s">
        <v>194</v>
      </c>
      <c r="V174" s="8" t="s">
        <v>194</v>
      </c>
      <c r="W174" s="8" t="s">
        <v>1165</v>
      </c>
    </row>
    <row r="175" spans="1:23" x14ac:dyDescent="0.2">
      <c r="A175" s="8" t="s">
        <v>730</v>
      </c>
      <c r="B175" s="8" t="s">
        <v>47</v>
      </c>
      <c r="C175" s="8" t="s">
        <v>731</v>
      </c>
      <c r="D175" s="8" t="s">
        <v>49</v>
      </c>
      <c r="E175" s="8" t="s">
        <v>1167</v>
      </c>
      <c r="F175" s="8" t="s">
        <v>347</v>
      </c>
      <c r="G175" s="8" t="s">
        <v>73</v>
      </c>
      <c r="H175" s="8" t="s">
        <v>732</v>
      </c>
      <c r="I175" s="8"/>
      <c r="J175" s="8" t="s">
        <v>1275</v>
      </c>
      <c r="K175" s="8" t="s">
        <v>571</v>
      </c>
      <c r="L175" s="49" t="s">
        <v>733</v>
      </c>
      <c r="M175" s="8"/>
      <c r="N175" s="8"/>
      <c r="O175" s="8"/>
      <c r="P175" s="8"/>
      <c r="Q175" s="8" t="s">
        <v>55</v>
      </c>
      <c r="R175" s="8" t="s">
        <v>56</v>
      </c>
      <c r="S175" s="8" t="s">
        <v>72</v>
      </c>
      <c r="T175" s="8" t="s">
        <v>194</v>
      </c>
      <c r="U175" s="8" t="s">
        <v>194</v>
      </c>
      <c r="V175" s="8" t="s">
        <v>212</v>
      </c>
      <c r="W175" s="8" t="s">
        <v>1165</v>
      </c>
    </row>
    <row r="176" spans="1:23" x14ac:dyDescent="0.2">
      <c r="A176" s="8" t="s">
        <v>735</v>
      </c>
      <c r="B176" s="8" t="s">
        <v>47</v>
      </c>
      <c r="C176" s="8" t="s">
        <v>736</v>
      </c>
      <c r="D176" s="8" t="s">
        <v>49</v>
      </c>
      <c r="E176" s="8" t="s">
        <v>1170</v>
      </c>
      <c r="F176" s="8" t="s">
        <v>347</v>
      </c>
      <c r="G176" s="8" t="s">
        <v>73</v>
      </c>
      <c r="H176" s="8" t="s">
        <v>732</v>
      </c>
      <c r="I176" s="8"/>
      <c r="J176" s="8"/>
      <c r="K176" s="8" t="s">
        <v>571</v>
      </c>
      <c r="L176" s="49" t="s">
        <v>733</v>
      </c>
      <c r="M176" s="8"/>
      <c r="N176" s="8"/>
      <c r="O176" s="8"/>
      <c r="P176" s="8"/>
      <c r="Q176" s="8" t="s">
        <v>55</v>
      </c>
      <c r="R176" s="8" t="s">
        <v>56</v>
      </c>
      <c r="S176" s="8" t="s">
        <v>72</v>
      </c>
      <c r="T176" s="8" t="s">
        <v>1276</v>
      </c>
      <c r="U176" s="8" t="s">
        <v>1276</v>
      </c>
      <c r="V176" s="8" t="s">
        <v>1276</v>
      </c>
      <c r="W176" s="8" t="s">
        <v>1165</v>
      </c>
    </row>
    <row r="177" spans="1:23" x14ac:dyDescent="0.2">
      <c r="A177" s="8" t="s">
        <v>737</v>
      </c>
      <c r="B177" s="8" t="s">
        <v>47</v>
      </c>
      <c r="C177" s="8" t="s">
        <v>738</v>
      </c>
      <c r="D177" s="8" t="s">
        <v>49</v>
      </c>
      <c r="E177" s="8" t="s">
        <v>1172</v>
      </c>
      <c r="F177" s="8" t="s">
        <v>347</v>
      </c>
      <c r="G177" s="8" t="s">
        <v>73</v>
      </c>
      <c r="H177" s="8" t="s">
        <v>732</v>
      </c>
      <c r="I177" s="8"/>
      <c r="J177" s="8"/>
      <c r="K177" s="8" t="s">
        <v>571</v>
      </c>
      <c r="L177" s="49" t="s">
        <v>733</v>
      </c>
      <c r="M177" s="8"/>
      <c r="N177" s="8"/>
      <c r="O177" s="8"/>
      <c r="P177" s="8"/>
      <c r="Q177" s="8" t="s">
        <v>55</v>
      </c>
      <c r="R177" s="8" t="s">
        <v>56</v>
      </c>
      <c r="S177" s="8" t="s">
        <v>72</v>
      </c>
      <c r="T177" s="8" t="s">
        <v>1276</v>
      </c>
      <c r="U177" s="8" t="s">
        <v>1276</v>
      </c>
      <c r="V177" s="8" t="s">
        <v>1276</v>
      </c>
      <c r="W177" s="8" t="s">
        <v>1165</v>
      </c>
    </row>
    <row r="178" spans="1:23" x14ac:dyDescent="0.2">
      <c r="A178" s="8" t="s">
        <v>739</v>
      </c>
      <c r="B178" s="8" t="s">
        <v>47</v>
      </c>
      <c r="C178" s="8" t="s">
        <v>740</v>
      </c>
      <c r="D178" s="8" t="s">
        <v>49</v>
      </c>
      <c r="E178" s="8" t="s">
        <v>1277</v>
      </c>
      <c r="F178" s="8" t="s">
        <v>361</v>
      </c>
      <c r="G178" s="8" t="s">
        <v>1</v>
      </c>
      <c r="H178" s="8" t="s">
        <v>732</v>
      </c>
      <c r="I178" s="8"/>
      <c r="J178" s="8"/>
      <c r="K178" s="8" t="s">
        <v>571</v>
      </c>
      <c r="L178" s="49" t="s">
        <v>587</v>
      </c>
      <c r="M178" s="8"/>
      <c r="N178" s="8"/>
      <c r="O178" s="8"/>
      <c r="P178" s="8"/>
      <c r="Q178" s="8" t="s">
        <v>55</v>
      </c>
      <c r="R178" s="8" t="s">
        <v>56</v>
      </c>
      <c r="S178" s="8" t="s">
        <v>72</v>
      </c>
      <c r="T178" s="8" t="s">
        <v>1236</v>
      </c>
      <c r="U178" s="8" t="s">
        <v>1236</v>
      </c>
      <c r="V178" s="8" t="s">
        <v>1236</v>
      </c>
      <c r="W178" s="8" t="s">
        <v>1134</v>
      </c>
    </row>
    <row r="179" spans="1:23" x14ac:dyDescent="0.2">
      <c r="A179" s="8" t="s">
        <v>742</v>
      </c>
      <c r="B179" s="8" t="s">
        <v>47</v>
      </c>
      <c r="C179" s="8" t="s">
        <v>743</v>
      </c>
      <c r="D179" s="8" t="s">
        <v>49</v>
      </c>
      <c r="E179" s="8" t="s">
        <v>1278</v>
      </c>
      <c r="F179" s="8" t="s">
        <v>745</v>
      </c>
      <c r="G179" s="8" t="s">
        <v>57</v>
      </c>
      <c r="H179" s="8"/>
      <c r="I179" s="8"/>
      <c r="J179" s="8"/>
      <c r="K179" s="8" t="s">
        <v>331</v>
      </c>
      <c r="L179" s="49" t="s">
        <v>746</v>
      </c>
      <c r="M179" s="8"/>
      <c r="N179" s="8"/>
      <c r="O179" s="8"/>
      <c r="P179" s="8"/>
      <c r="Q179" s="8" t="s">
        <v>55</v>
      </c>
      <c r="R179" s="8" t="s">
        <v>56</v>
      </c>
      <c r="S179" s="8" t="s">
        <v>47</v>
      </c>
      <c r="T179" s="8" t="s">
        <v>1279</v>
      </c>
      <c r="U179" s="8" t="s">
        <v>1279</v>
      </c>
      <c r="V179" s="8" t="s">
        <v>1279</v>
      </c>
      <c r="W179" s="8"/>
    </row>
    <row r="180" spans="1:23" x14ac:dyDescent="0.2">
      <c r="A180" s="8" t="s">
        <v>748</v>
      </c>
      <c r="B180" s="8" t="s">
        <v>47</v>
      </c>
      <c r="C180" s="8" t="s">
        <v>749</v>
      </c>
      <c r="D180" s="8" t="s">
        <v>49</v>
      </c>
      <c r="E180" s="8" t="s">
        <v>1280</v>
      </c>
      <c r="F180" s="8" t="s">
        <v>745</v>
      </c>
      <c r="G180" s="8" t="s">
        <v>1</v>
      </c>
      <c r="H180" s="8"/>
      <c r="I180" s="8"/>
      <c r="J180" s="8"/>
      <c r="K180" s="8" t="s">
        <v>331</v>
      </c>
      <c r="L180" s="49" t="s">
        <v>746</v>
      </c>
      <c r="M180" s="8"/>
      <c r="N180" s="8"/>
      <c r="O180" s="8"/>
      <c r="P180" s="8"/>
      <c r="Q180" s="8" t="s">
        <v>55</v>
      </c>
      <c r="R180" s="8" t="s">
        <v>56</v>
      </c>
      <c r="S180" s="8" t="s">
        <v>47</v>
      </c>
      <c r="T180" s="8" t="s">
        <v>1279</v>
      </c>
      <c r="U180" s="8" t="s">
        <v>1279</v>
      </c>
      <c r="V180" s="8" t="s">
        <v>1279</v>
      </c>
      <c r="W180" s="8"/>
    </row>
    <row r="181" spans="1:23" x14ac:dyDescent="0.2">
      <c r="A181" s="8" t="s">
        <v>751</v>
      </c>
      <c r="B181" s="8" t="s">
        <v>47</v>
      </c>
      <c r="C181" s="8" t="s">
        <v>752</v>
      </c>
      <c r="D181" s="8" t="s">
        <v>49</v>
      </c>
      <c r="E181" s="8" t="s">
        <v>1085</v>
      </c>
      <c r="F181" s="8" t="s">
        <v>754</v>
      </c>
      <c r="G181" s="8" t="s">
        <v>73</v>
      </c>
      <c r="H181" s="8" t="s">
        <v>1281</v>
      </c>
      <c r="I181" s="8"/>
      <c r="J181" s="8" t="s">
        <v>755</v>
      </c>
      <c r="K181" s="8" t="s">
        <v>331</v>
      </c>
      <c r="L181" s="49" t="s">
        <v>756</v>
      </c>
      <c r="M181" s="8"/>
      <c r="N181" s="8"/>
      <c r="O181" s="8"/>
      <c r="P181" s="8"/>
      <c r="Q181" s="8" t="s">
        <v>55</v>
      </c>
      <c r="R181" s="8" t="s">
        <v>56</v>
      </c>
      <c r="S181" s="8" t="s">
        <v>72</v>
      </c>
      <c r="T181" s="8" t="s">
        <v>1279</v>
      </c>
      <c r="U181" s="8" t="s">
        <v>1279</v>
      </c>
      <c r="V181" s="8" t="s">
        <v>212</v>
      </c>
      <c r="W181" s="8" t="s">
        <v>1165</v>
      </c>
    </row>
    <row r="182" spans="1:23" x14ac:dyDescent="0.2">
      <c r="A182" s="8" t="s">
        <v>755</v>
      </c>
      <c r="B182" s="8" t="s">
        <v>47</v>
      </c>
      <c r="C182" s="8" t="s">
        <v>759</v>
      </c>
      <c r="D182" s="8" t="s">
        <v>49</v>
      </c>
      <c r="E182" s="8" t="s">
        <v>1087</v>
      </c>
      <c r="F182" s="8" t="s">
        <v>761</v>
      </c>
      <c r="G182" s="8" t="s">
        <v>73</v>
      </c>
      <c r="H182" s="8" t="s">
        <v>751</v>
      </c>
      <c r="I182" s="8">
        <v>182</v>
      </c>
      <c r="J182" s="8" t="s">
        <v>762</v>
      </c>
      <c r="K182" s="8" t="s">
        <v>763</v>
      </c>
      <c r="L182" s="49" t="s">
        <v>764</v>
      </c>
      <c r="M182" s="8"/>
      <c r="N182" s="8"/>
      <c r="O182" s="8"/>
      <c r="P182" s="8"/>
      <c r="Q182" s="8" t="s">
        <v>55</v>
      </c>
      <c r="R182" s="8" t="s">
        <v>56</v>
      </c>
      <c r="S182" s="8" t="s">
        <v>72</v>
      </c>
      <c r="T182" s="8" t="s">
        <v>1279</v>
      </c>
      <c r="U182" s="8" t="s">
        <v>1279</v>
      </c>
      <c r="V182" s="8" t="s">
        <v>212</v>
      </c>
      <c r="W182" s="8" t="s">
        <v>1165</v>
      </c>
    </row>
    <row r="183" spans="1:23" x14ac:dyDescent="0.2">
      <c r="A183" s="8" t="s">
        <v>762</v>
      </c>
      <c r="B183" s="8" t="s">
        <v>47</v>
      </c>
      <c r="C183" s="8" t="s">
        <v>768</v>
      </c>
      <c r="D183" s="8" t="s">
        <v>49</v>
      </c>
      <c r="E183" s="8" t="s">
        <v>1090</v>
      </c>
      <c r="F183" s="8" t="s">
        <v>761</v>
      </c>
      <c r="G183" s="8" t="s">
        <v>73</v>
      </c>
      <c r="H183" s="8" t="s">
        <v>755</v>
      </c>
      <c r="I183" s="8">
        <v>183</v>
      </c>
      <c r="J183" s="8" t="s">
        <v>770</v>
      </c>
      <c r="K183" s="8" t="s">
        <v>771</v>
      </c>
      <c r="L183" s="49" t="s">
        <v>772</v>
      </c>
      <c r="M183" s="8"/>
      <c r="N183" s="8"/>
      <c r="O183" s="8"/>
      <c r="P183" s="8"/>
      <c r="Q183" s="8" t="s">
        <v>55</v>
      </c>
      <c r="R183" s="8" t="s">
        <v>56</v>
      </c>
      <c r="S183" s="8" t="s">
        <v>72</v>
      </c>
      <c r="T183" s="8" t="s">
        <v>1279</v>
      </c>
      <c r="U183" s="8" t="s">
        <v>1279</v>
      </c>
      <c r="V183" s="8" t="s">
        <v>212</v>
      </c>
      <c r="W183" s="8" t="s">
        <v>1165</v>
      </c>
    </row>
    <row r="184" spans="1:23" x14ac:dyDescent="0.2">
      <c r="A184" s="8" t="s">
        <v>777</v>
      </c>
      <c r="B184" s="8" t="s">
        <v>47</v>
      </c>
      <c r="C184" s="8" t="s">
        <v>778</v>
      </c>
      <c r="D184" s="8" t="s">
        <v>49</v>
      </c>
      <c r="E184" s="8" t="s">
        <v>1092</v>
      </c>
      <c r="F184" s="8" t="s">
        <v>754</v>
      </c>
      <c r="G184" s="8" t="s">
        <v>73</v>
      </c>
      <c r="H184" s="8" t="s">
        <v>762</v>
      </c>
      <c r="I184" s="8">
        <v>180</v>
      </c>
      <c r="J184" s="8"/>
      <c r="K184" s="8" t="s">
        <v>780</v>
      </c>
      <c r="L184" s="49" t="s">
        <v>746</v>
      </c>
      <c r="M184" s="8"/>
      <c r="N184" s="8"/>
      <c r="O184" s="8"/>
      <c r="P184" s="8"/>
      <c r="Q184" s="8" t="s">
        <v>55</v>
      </c>
      <c r="R184" s="8" t="s">
        <v>56</v>
      </c>
      <c r="S184" s="8" t="s">
        <v>72</v>
      </c>
      <c r="T184" s="8" t="s">
        <v>1279</v>
      </c>
      <c r="U184" s="8" t="s">
        <v>1279</v>
      </c>
      <c r="V184" s="8" t="s">
        <v>1279</v>
      </c>
      <c r="W184" s="8" t="s">
        <v>1165</v>
      </c>
    </row>
    <row r="185" spans="1:23" x14ac:dyDescent="0.2">
      <c r="A185" s="8" t="s">
        <v>783</v>
      </c>
      <c r="B185" s="8" t="s">
        <v>47</v>
      </c>
      <c r="C185" s="8" t="s">
        <v>784</v>
      </c>
      <c r="D185" s="8" t="s">
        <v>49</v>
      </c>
      <c r="E185" s="8" t="s">
        <v>1122</v>
      </c>
      <c r="F185" s="8" t="s">
        <v>754</v>
      </c>
      <c r="G185" s="8" t="s">
        <v>73</v>
      </c>
      <c r="H185" s="8" t="s">
        <v>762</v>
      </c>
      <c r="I185" s="8" t="s">
        <v>1490</v>
      </c>
      <c r="J185" s="8"/>
      <c r="K185" s="8" t="s">
        <v>780</v>
      </c>
      <c r="L185" s="49" t="s">
        <v>746</v>
      </c>
      <c r="M185" s="8"/>
      <c r="N185" s="8"/>
      <c r="O185" s="8"/>
      <c r="P185" s="8"/>
      <c r="Q185" s="8" t="s">
        <v>55</v>
      </c>
      <c r="R185" s="8" t="s">
        <v>56</v>
      </c>
      <c r="S185" s="8" t="s">
        <v>72</v>
      </c>
      <c r="T185" s="8" t="s">
        <v>1279</v>
      </c>
      <c r="U185" s="8" t="s">
        <v>1279</v>
      </c>
      <c r="V185" s="8" t="s">
        <v>1279</v>
      </c>
      <c r="W185" s="8" t="s">
        <v>1165</v>
      </c>
    </row>
    <row r="186" spans="1:23" x14ac:dyDescent="0.2">
      <c r="A186" s="8" t="s">
        <v>786</v>
      </c>
      <c r="B186" s="8" t="s">
        <v>47</v>
      </c>
      <c r="C186" s="8" t="s">
        <v>787</v>
      </c>
      <c r="D186" s="8" t="s">
        <v>49</v>
      </c>
      <c r="E186" s="8" t="s">
        <v>1282</v>
      </c>
      <c r="F186" s="8" t="s">
        <v>745</v>
      </c>
      <c r="G186" s="8" t="s">
        <v>1</v>
      </c>
      <c r="H186" s="8"/>
      <c r="I186" s="8"/>
      <c r="J186" s="8"/>
      <c r="K186" s="8" t="s">
        <v>331</v>
      </c>
      <c r="L186" s="49" t="s">
        <v>746</v>
      </c>
      <c r="M186" s="8"/>
      <c r="N186" s="8"/>
      <c r="O186" s="8"/>
      <c r="P186" s="8"/>
      <c r="Q186" s="8" t="s">
        <v>55</v>
      </c>
      <c r="R186" s="8" t="s">
        <v>56</v>
      </c>
      <c r="S186" s="8" t="s">
        <v>47</v>
      </c>
      <c r="T186" s="8" t="s">
        <v>1279</v>
      </c>
      <c r="U186" s="8" t="s">
        <v>1279</v>
      </c>
      <c r="V186" s="8" t="s">
        <v>1279</v>
      </c>
      <c r="W186" s="8"/>
    </row>
    <row r="187" spans="1:23" x14ac:dyDescent="0.2">
      <c r="A187" s="8" t="s">
        <v>789</v>
      </c>
      <c r="B187" s="8" t="s">
        <v>47</v>
      </c>
      <c r="C187" s="8" t="s">
        <v>790</v>
      </c>
      <c r="D187" s="8" t="s">
        <v>49</v>
      </c>
      <c r="E187" s="8" t="s">
        <v>1085</v>
      </c>
      <c r="F187" s="8" t="s">
        <v>754</v>
      </c>
      <c r="G187" s="8" t="s">
        <v>73</v>
      </c>
      <c r="H187" s="8" t="s">
        <v>1281</v>
      </c>
      <c r="I187" s="8"/>
      <c r="J187" s="8" t="s">
        <v>791</v>
      </c>
      <c r="K187" s="8" t="s">
        <v>331</v>
      </c>
      <c r="L187" s="49" t="s">
        <v>756</v>
      </c>
      <c r="M187" s="8"/>
      <c r="N187" s="8"/>
      <c r="O187" s="8"/>
      <c r="P187" s="8"/>
      <c r="Q187" s="8" t="s">
        <v>55</v>
      </c>
      <c r="R187" s="8" t="s">
        <v>56</v>
      </c>
      <c r="S187" s="8" t="s">
        <v>72</v>
      </c>
      <c r="T187" s="8" t="s">
        <v>1279</v>
      </c>
      <c r="U187" s="8" t="s">
        <v>1279</v>
      </c>
      <c r="V187" s="8" t="s">
        <v>212</v>
      </c>
      <c r="W187" s="8" t="s">
        <v>1165</v>
      </c>
    </row>
    <row r="188" spans="1:23" x14ac:dyDescent="0.2">
      <c r="A188" s="8" t="s">
        <v>791</v>
      </c>
      <c r="B188" s="8" t="s">
        <v>47</v>
      </c>
      <c r="C188" s="8" t="s">
        <v>792</v>
      </c>
      <c r="D188" s="8" t="s">
        <v>49</v>
      </c>
      <c r="E188" s="8" t="s">
        <v>1087</v>
      </c>
      <c r="F188" s="8" t="s">
        <v>761</v>
      </c>
      <c r="G188" s="8" t="s">
        <v>73</v>
      </c>
      <c r="H188" s="8" t="s">
        <v>789</v>
      </c>
      <c r="I188" s="8">
        <v>188</v>
      </c>
      <c r="J188" s="8" t="s">
        <v>793</v>
      </c>
      <c r="K188" s="8" t="s">
        <v>763</v>
      </c>
      <c r="L188" s="49" t="s">
        <v>764</v>
      </c>
      <c r="M188" s="8"/>
      <c r="N188" s="8"/>
      <c r="O188" s="8"/>
      <c r="P188" s="8"/>
      <c r="Q188" s="8" t="s">
        <v>55</v>
      </c>
      <c r="R188" s="8" t="s">
        <v>56</v>
      </c>
      <c r="S188" s="8" t="s">
        <v>72</v>
      </c>
      <c r="T188" s="8" t="s">
        <v>1279</v>
      </c>
      <c r="U188" s="8" t="s">
        <v>1279</v>
      </c>
      <c r="V188" s="8" t="s">
        <v>212</v>
      </c>
      <c r="W188" s="8" t="s">
        <v>1165</v>
      </c>
    </row>
    <row r="189" spans="1:23" x14ac:dyDescent="0.2">
      <c r="A189" s="8" t="s">
        <v>793</v>
      </c>
      <c r="B189" s="8" t="s">
        <v>47</v>
      </c>
      <c r="C189" s="8" t="s">
        <v>794</v>
      </c>
      <c r="D189" s="8" t="s">
        <v>49</v>
      </c>
      <c r="E189" s="8" t="s">
        <v>1090</v>
      </c>
      <c r="F189" s="8" t="s">
        <v>761</v>
      </c>
      <c r="G189" s="8" t="s">
        <v>73</v>
      </c>
      <c r="H189" s="8" t="s">
        <v>791</v>
      </c>
      <c r="I189" s="8">
        <v>189</v>
      </c>
      <c r="J189" s="8" t="s">
        <v>795</v>
      </c>
      <c r="K189" s="8" t="s">
        <v>771</v>
      </c>
      <c r="L189" s="49" t="s">
        <v>772</v>
      </c>
      <c r="M189" s="8"/>
      <c r="N189" s="8"/>
      <c r="O189" s="8"/>
      <c r="P189" s="8"/>
      <c r="Q189" s="8" t="s">
        <v>55</v>
      </c>
      <c r="R189" s="8" t="s">
        <v>56</v>
      </c>
      <c r="S189" s="8" t="s">
        <v>72</v>
      </c>
      <c r="T189" s="8" t="s">
        <v>1279</v>
      </c>
      <c r="U189" s="8" t="s">
        <v>1279</v>
      </c>
      <c r="V189" s="8" t="s">
        <v>212</v>
      </c>
      <c r="W189" s="8" t="s">
        <v>1165</v>
      </c>
    </row>
    <row r="190" spans="1:23" x14ac:dyDescent="0.2">
      <c r="A190" s="8" t="s">
        <v>796</v>
      </c>
      <c r="B190" s="8" t="s">
        <v>47</v>
      </c>
      <c r="C190" s="8" t="s">
        <v>797</v>
      </c>
      <c r="D190" s="8" t="s">
        <v>49</v>
      </c>
      <c r="E190" s="8" t="s">
        <v>1092</v>
      </c>
      <c r="F190" s="8" t="s">
        <v>754</v>
      </c>
      <c r="G190" s="8" t="s">
        <v>73</v>
      </c>
      <c r="H190" s="8" t="s">
        <v>793</v>
      </c>
      <c r="I190" s="8">
        <v>186</v>
      </c>
      <c r="J190" s="8"/>
      <c r="K190" s="8" t="s">
        <v>780</v>
      </c>
      <c r="L190" s="49" t="s">
        <v>746</v>
      </c>
      <c r="M190" s="8"/>
      <c r="N190" s="8"/>
      <c r="O190" s="8"/>
      <c r="P190" s="8"/>
      <c r="Q190" s="8" t="s">
        <v>55</v>
      </c>
      <c r="R190" s="8" t="s">
        <v>56</v>
      </c>
      <c r="S190" s="8" t="s">
        <v>72</v>
      </c>
      <c r="T190" s="8" t="s">
        <v>1279</v>
      </c>
      <c r="U190" s="8" t="s">
        <v>1279</v>
      </c>
      <c r="V190" s="8" t="s">
        <v>1279</v>
      </c>
      <c r="W190" s="8" t="s">
        <v>1165</v>
      </c>
    </row>
    <row r="191" spans="1:23" x14ac:dyDescent="0.2">
      <c r="A191" s="8" t="s">
        <v>798</v>
      </c>
      <c r="B191" s="8" t="s">
        <v>47</v>
      </c>
      <c r="C191" s="8" t="s">
        <v>799</v>
      </c>
      <c r="D191" s="8" t="s">
        <v>49</v>
      </c>
      <c r="E191" s="8" t="s">
        <v>1122</v>
      </c>
      <c r="F191" s="8" t="s">
        <v>754</v>
      </c>
      <c r="G191" s="8" t="s">
        <v>73</v>
      </c>
      <c r="H191" s="8" t="s">
        <v>793</v>
      </c>
      <c r="I191" s="8" t="s">
        <v>1491</v>
      </c>
      <c r="J191" s="8"/>
      <c r="K191" s="8" t="s">
        <v>780</v>
      </c>
      <c r="L191" s="49" t="s">
        <v>746</v>
      </c>
      <c r="M191" s="8"/>
      <c r="N191" s="8"/>
      <c r="O191" s="8"/>
      <c r="P191" s="8"/>
      <c r="Q191" s="8" t="s">
        <v>55</v>
      </c>
      <c r="R191" s="8" t="s">
        <v>56</v>
      </c>
      <c r="S191" s="8" t="s">
        <v>72</v>
      </c>
      <c r="T191" s="8" t="s">
        <v>1279</v>
      </c>
      <c r="U191" s="8" t="s">
        <v>1279</v>
      </c>
      <c r="V191" s="8" t="s">
        <v>1279</v>
      </c>
      <c r="W191" s="8" t="s">
        <v>1165</v>
      </c>
    </row>
    <row r="192" spans="1:23" x14ac:dyDescent="0.2">
      <c r="A192" s="8" t="s">
        <v>800</v>
      </c>
      <c r="B192" s="8" t="s">
        <v>47</v>
      </c>
      <c r="C192" s="8" t="s">
        <v>801</v>
      </c>
      <c r="D192" s="8" t="s">
        <v>49</v>
      </c>
      <c r="E192" s="8" t="s">
        <v>1283</v>
      </c>
      <c r="F192" s="8" t="s">
        <v>803</v>
      </c>
      <c r="G192" s="8" t="s">
        <v>57</v>
      </c>
      <c r="H192" s="8"/>
      <c r="I192" s="8"/>
      <c r="J192" s="8"/>
      <c r="K192" s="8" t="s">
        <v>331</v>
      </c>
      <c r="L192" s="49" t="s">
        <v>587</v>
      </c>
      <c r="M192" s="8"/>
      <c r="N192" s="8"/>
      <c r="O192" s="8"/>
      <c r="P192" s="8"/>
      <c r="Q192" s="8" t="s">
        <v>55</v>
      </c>
      <c r="R192" s="8" t="s">
        <v>56</v>
      </c>
      <c r="S192" s="8" t="s">
        <v>47</v>
      </c>
      <c r="T192" s="8" t="s">
        <v>1284</v>
      </c>
      <c r="U192" s="8" t="s">
        <v>1236</v>
      </c>
      <c r="V192" s="8" t="s">
        <v>1236</v>
      </c>
      <c r="W192" s="8"/>
    </row>
    <row r="193" spans="1:23" x14ac:dyDescent="0.2">
      <c r="A193" s="8" t="s">
        <v>804</v>
      </c>
      <c r="B193" s="8" t="s">
        <v>47</v>
      </c>
      <c r="C193" s="8" t="s">
        <v>805</v>
      </c>
      <c r="D193" s="8" t="s">
        <v>49</v>
      </c>
      <c r="E193" s="8" t="s">
        <v>1285</v>
      </c>
      <c r="F193" s="8" t="s">
        <v>803</v>
      </c>
      <c r="G193" s="8" t="s">
        <v>1</v>
      </c>
      <c r="H193" s="8"/>
      <c r="I193" s="8"/>
      <c r="J193" s="8"/>
      <c r="K193" s="8" t="s">
        <v>331</v>
      </c>
      <c r="L193" s="49" t="s">
        <v>587</v>
      </c>
      <c r="M193" s="8"/>
      <c r="N193" s="8"/>
      <c r="O193" s="8"/>
      <c r="P193" s="8"/>
      <c r="Q193" s="8" t="s">
        <v>55</v>
      </c>
      <c r="R193" s="8" t="s">
        <v>56</v>
      </c>
      <c r="S193" s="8" t="s">
        <v>47</v>
      </c>
      <c r="T193" s="8" t="s">
        <v>1284</v>
      </c>
      <c r="U193" s="8" t="s">
        <v>1236</v>
      </c>
      <c r="V193" s="8" t="s">
        <v>1236</v>
      </c>
      <c r="W193" s="8"/>
    </row>
    <row r="194" spans="1:23" x14ac:dyDescent="0.2">
      <c r="A194" s="8" t="s">
        <v>807</v>
      </c>
      <c r="B194" s="8" t="s">
        <v>47</v>
      </c>
      <c r="C194" s="8" t="s">
        <v>808</v>
      </c>
      <c r="D194" s="8" t="s">
        <v>49</v>
      </c>
      <c r="E194" s="8" t="s">
        <v>1286</v>
      </c>
      <c r="F194" s="8" t="s">
        <v>361</v>
      </c>
      <c r="G194" s="8" t="s">
        <v>73</v>
      </c>
      <c r="H194" s="8" t="s">
        <v>661</v>
      </c>
      <c r="I194" s="8"/>
      <c r="J194" s="8"/>
      <c r="K194" s="8" t="s">
        <v>571</v>
      </c>
      <c r="L194" s="49" t="s">
        <v>587</v>
      </c>
      <c r="M194" s="8"/>
      <c r="N194" s="8"/>
      <c r="O194" s="8"/>
      <c r="P194" s="8"/>
      <c r="Q194" s="8" t="s">
        <v>55</v>
      </c>
      <c r="R194" s="8" t="s">
        <v>56</v>
      </c>
      <c r="S194" s="8" t="s">
        <v>72</v>
      </c>
      <c r="T194" s="8" t="s">
        <v>1236</v>
      </c>
      <c r="U194" s="8" t="s">
        <v>1236</v>
      </c>
      <c r="V194" s="8" t="s">
        <v>1236</v>
      </c>
      <c r="W194" s="8" t="s">
        <v>1129</v>
      </c>
    </row>
    <row r="195" spans="1:23" x14ac:dyDescent="0.2">
      <c r="A195" s="8" t="s">
        <v>810</v>
      </c>
      <c r="B195" s="8" t="s">
        <v>47</v>
      </c>
      <c r="C195" s="8" t="s">
        <v>811</v>
      </c>
      <c r="D195" s="8" t="s">
        <v>49</v>
      </c>
      <c r="E195" s="8" t="s">
        <v>1287</v>
      </c>
      <c r="F195" s="8" t="s">
        <v>361</v>
      </c>
      <c r="G195" s="8" t="s">
        <v>73</v>
      </c>
      <c r="H195" s="8" t="s">
        <v>661</v>
      </c>
      <c r="I195" s="8"/>
      <c r="J195" s="8"/>
      <c r="K195" s="8" t="s">
        <v>571</v>
      </c>
      <c r="L195" s="49" t="s">
        <v>587</v>
      </c>
      <c r="M195" s="8"/>
      <c r="N195" s="8"/>
      <c r="O195" s="8"/>
      <c r="P195" s="8"/>
      <c r="Q195" s="8" t="s">
        <v>55</v>
      </c>
      <c r="R195" s="8" t="s">
        <v>56</v>
      </c>
      <c r="S195" s="8" t="s">
        <v>72</v>
      </c>
      <c r="T195" s="8" t="s">
        <v>1236</v>
      </c>
      <c r="U195" s="8" t="s">
        <v>1236</v>
      </c>
      <c r="V195" s="8" t="s">
        <v>1236</v>
      </c>
      <c r="W195" s="8" t="s">
        <v>1129</v>
      </c>
    </row>
    <row r="196" spans="1:23" x14ac:dyDescent="0.2">
      <c r="A196" s="8" t="s">
        <v>813</v>
      </c>
      <c r="B196" s="8" t="s">
        <v>47</v>
      </c>
      <c r="C196" s="8" t="s">
        <v>814</v>
      </c>
      <c r="D196" s="8" t="s">
        <v>49</v>
      </c>
      <c r="E196" s="8" t="s">
        <v>1288</v>
      </c>
      <c r="F196" s="8" t="s">
        <v>361</v>
      </c>
      <c r="G196" s="8" t="s">
        <v>73</v>
      </c>
      <c r="H196" s="8" t="s">
        <v>661</v>
      </c>
      <c r="I196" s="8"/>
      <c r="J196" s="8"/>
      <c r="K196" s="8" t="s">
        <v>571</v>
      </c>
      <c r="L196" s="49" t="s">
        <v>587</v>
      </c>
      <c r="M196" s="8"/>
      <c r="N196" s="8"/>
      <c r="O196" s="8"/>
      <c r="P196" s="8"/>
      <c r="Q196" s="8" t="s">
        <v>55</v>
      </c>
      <c r="R196" s="8" t="s">
        <v>56</v>
      </c>
      <c r="S196" s="8" t="s">
        <v>72</v>
      </c>
      <c r="T196" s="8" t="s">
        <v>1236</v>
      </c>
      <c r="U196" s="8" t="s">
        <v>1236</v>
      </c>
      <c r="V196" s="8" t="s">
        <v>1236</v>
      </c>
      <c r="W196" s="8" t="s">
        <v>1129</v>
      </c>
    </row>
    <row r="197" spans="1:23" x14ac:dyDescent="0.2">
      <c r="A197" s="8" t="s">
        <v>816</v>
      </c>
      <c r="B197" s="8" t="s">
        <v>47</v>
      </c>
      <c r="C197" s="8" t="s">
        <v>817</v>
      </c>
      <c r="D197" s="8" t="s">
        <v>49</v>
      </c>
      <c r="E197" s="8" t="s">
        <v>1289</v>
      </c>
      <c r="F197" s="8" t="s">
        <v>361</v>
      </c>
      <c r="G197" s="8" t="s">
        <v>73</v>
      </c>
      <c r="H197" s="8" t="s">
        <v>661</v>
      </c>
      <c r="I197" s="8"/>
      <c r="J197" s="8"/>
      <c r="K197" s="8" t="s">
        <v>571</v>
      </c>
      <c r="L197" s="49" t="s">
        <v>587</v>
      </c>
      <c r="M197" s="8"/>
      <c r="N197" s="8"/>
      <c r="O197" s="8"/>
      <c r="P197" s="8"/>
      <c r="Q197" s="8" t="s">
        <v>55</v>
      </c>
      <c r="R197" s="8" t="s">
        <v>56</v>
      </c>
      <c r="S197" s="8" t="s">
        <v>72</v>
      </c>
      <c r="T197" s="8" t="s">
        <v>1236</v>
      </c>
      <c r="U197" s="8" t="s">
        <v>1236</v>
      </c>
      <c r="V197" s="8" t="s">
        <v>1236</v>
      </c>
      <c r="W197" s="8" t="s">
        <v>1129</v>
      </c>
    </row>
    <row r="198" spans="1:23" x14ac:dyDescent="0.2">
      <c r="A198" s="8" t="s">
        <v>819</v>
      </c>
      <c r="B198" s="8" t="s">
        <v>47</v>
      </c>
      <c r="C198" s="8" t="s">
        <v>820</v>
      </c>
      <c r="D198" s="8" t="s">
        <v>49</v>
      </c>
      <c r="E198" s="8" t="s">
        <v>1290</v>
      </c>
      <c r="F198" s="8" t="s">
        <v>361</v>
      </c>
      <c r="G198" s="8" t="s">
        <v>73</v>
      </c>
      <c r="H198" s="8" t="s">
        <v>661</v>
      </c>
      <c r="I198" s="8"/>
      <c r="J198" s="8"/>
      <c r="K198" s="8" t="s">
        <v>571</v>
      </c>
      <c r="L198" s="49" t="s">
        <v>587</v>
      </c>
      <c r="M198" s="8"/>
      <c r="N198" s="8"/>
      <c r="O198" s="8"/>
      <c r="P198" s="8"/>
      <c r="Q198" s="8" t="s">
        <v>55</v>
      </c>
      <c r="R198" s="8" t="s">
        <v>56</v>
      </c>
      <c r="S198" s="8" t="s">
        <v>72</v>
      </c>
      <c r="T198" s="8" t="s">
        <v>1236</v>
      </c>
      <c r="U198" s="8" t="s">
        <v>1236</v>
      </c>
      <c r="V198" s="8" t="s">
        <v>1236</v>
      </c>
      <c r="W198" s="8" t="s">
        <v>1129</v>
      </c>
    </row>
    <row r="199" spans="1:23" x14ac:dyDescent="0.2">
      <c r="A199" s="8" t="s">
        <v>822</v>
      </c>
      <c r="B199" s="8" t="s">
        <v>47</v>
      </c>
      <c r="C199" s="8" t="s">
        <v>823</v>
      </c>
      <c r="D199" s="8" t="s">
        <v>49</v>
      </c>
      <c r="E199" s="8" t="s">
        <v>1291</v>
      </c>
      <c r="F199" s="8" t="s">
        <v>825</v>
      </c>
      <c r="G199" s="8" t="s">
        <v>73</v>
      </c>
      <c r="H199" s="8" t="s">
        <v>1281</v>
      </c>
      <c r="I199" s="8"/>
      <c r="J199" s="8"/>
      <c r="K199" s="8" t="s">
        <v>331</v>
      </c>
      <c r="L199" s="49" t="s">
        <v>826</v>
      </c>
      <c r="M199" s="8"/>
      <c r="N199" s="8"/>
      <c r="O199" s="8"/>
      <c r="P199" s="8"/>
      <c r="Q199" s="8" t="s">
        <v>55</v>
      </c>
      <c r="R199" s="8" t="s">
        <v>56</v>
      </c>
      <c r="S199" s="8" t="s">
        <v>72</v>
      </c>
      <c r="T199" s="8" t="s">
        <v>1292</v>
      </c>
      <c r="U199" s="8" t="s">
        <v>1292</v>
      </c>
      <c r="V199" s="8" t="s">
        <v>1292</v>
      </c>
      <c r="W199" s="8" t="s">
        <v>1129</v>
      </c>
    </row>
    <row r="200" spans="1:23" x14ac:dyDescent="0.2">
      <c r="A200" s="8" t="s">
        <v>828</v>
      </c>
      <c r="B200" s="8" t="s">
        <v>47</v>
      </c>
      <c r="C200" s="8" t="s">
        <v>829</v>
      </c>
      <c r="D200" s="8" t="s">
        <v>49</v>
      </c>
      <c r="E200" s="8" t="s">
        <v>1293</v>
      </c>
      <c r="F200" s="8" t="s">
        <v>825</v>
      </c>
      <c r="G200" s="8" t="s">
        <v>73</v>
      </c>
      <c r="H200" s="8" t="s">
        <v>1281</v>
      </c>
      <c r="I200" s="8"/>
      <c r="J200" s="8"/>
      <c r="K200" s="8" t="s">
        <v>331</v>
      </c>
      <c r="L200" s="49" t="s">
        <v>826</v>
      </c>
      <c r="M200" s="8"/>
      <c r="N200" s="8"/>
      <c r="O200" s="8"/>
      <c r="P200" s="8"/>
      <c r="Q200" s="8" t="s">
        <v>55</v>
      </c>
      <c r="R200" s="8" t="s">
        <v>56</v>
      </c>
      <c r="S200" s="8" t="s">
        <v>72</v>
      </c>
      <c r="T200" s="8" t="s">
        <v>1292</v>
      </c>
      <c r="U200" s="8" t="s">
        <v>1292</v>
      </c>
      <c r="V200" s="8" t="s">
        <v>1292</v>
      </c>
      <c r="W200" s="8" t="s">
        <v>1129</v>
      </c>
    </row>
    <row r="201" spans="1:23" x14ac:dyDescent="0.2">
      <c r="A201" s="8" t="s">
        <v>831</v>
      </c>
      <c r="B201" s="8" t="s">
        <v>47</v>
      </c>
      <c r="C201" s="8" t="s">
        <v>832</v>
      </c>
      <c r="D201" s="8" t="s">
        <v>49</v>
      </c>
      <c r="E201" s="8" t="s">
        <v>1294</v>
      </c>
      <c r="F201" s="8" t="s">
        <v>825</v>
      </c>
      <c r="G201" s="8" t="s">
        <v>73</v>
      </c>
      <c r="H201" s="8" t="s">
        <v>1281</v>
      </c>
      <c r="I201" s="8"/>
      <c r="J201" s="8"/>
      <c r="K201" s="8" t="s">
        <v>331</v>
      </c>
      <c r="L201" s="49" t="s">
        <v>826</v>
      </c>
      <c r="M201" s="8"/>
      <c r="N201" s="8"/>
      <c r="O201" s="8"/>
      <c r="P201" s="8"/>
      <c r="Q201" s="8" t="s">
        <v>55</v>
      </c>
      <c r="R201" s="8" t="s">
        <v>56</v>
      </c>
      <c r="S201" s="8" t="s">
        <v>72</v>
      </c>
      <c r="T201" s="8" t="s">
        <v>1292</v>
      </c>
      <c r="U201" s="8" t="s">
        <v>1292</v>
      </c>
      <c r="V201" s="8" t="s">
        <v>1292</v>
      </c>
      <c r="W201" s="8" t="s">
        <v>1129</v>
      </c>
    </row>
    <row r="202" spans="1:23" x14ac:dyDescent="0.2">
      <c r="A202" s="8" t="s">
        <v>834</v>
      </c>
      <c r="B202" s="8" t="s">
        <v>47</v>
      </c>
      <c r="C202" s="8" t="s">
        <v>835</v>
      </c>
      <c r="D202" s="8" t="s">
        <v>49</v>
      </c>
      <c r="E202" s="8" t="s">
        <v>1295</v>
      </c>
      <c r="F202" s="8" t="s">
        <v>361</v>
      </c>
      <c r="G202" s="8" t="s">
        <v>1</v>
      </c>
      <c r="H202" s="8"/>
      <c r="I202" s="8"/>
      <c r="J202" s="8"/>
      <c r="K202" s="8" t="s">
        <v>571</v>
      </c>
      <c r="L202" s="49" t="s">
        <v>587</v>
      </c>
      <c r="M202" s="8"/>
      <c r="N202" s="8"/>
      <c r="O202" s="8"/>
      <c r="P202" s="8"/>
      <c r="Q202" s="8" t="s">
        <v>55</v>
      </c>
      <c r="R202" s="8" t="s">
        <v>56</v>
      </c>
      <c r="S202" s="8" t="s">
        <v>47</v>
      </c>
      <c r="T202" s="8" t="s">
        <v>1236</v>
      </c>
      <c r="U202" s="8" t="s">
        <v>1236</v>
      </c>
      <c r="V202" s="8" t="s">
        <v>1236</v>
      </c>
      <c r="W202" s="8"/>
    </row>
    <row r="203" spans="1:23" x14ac:dyDescent="0.2">
      <c r="A203" s="8" t="s">
        <v>837</v>
      </c>
      <c r="B203" s="8" t="s">
        <v>47</v>
      </c>
      <c r="C203" s="8" t="s">
        <v>838</v>
      </c>
      <c r="D203" s="8" t="s">
        <v>49</v>
      </c>
      <c r="E203" s="8" t="s">
        <v>1296</v>
      </c>
      <c r="F203" s="8" t="s">
        <v>361</v>
      </c>
      <c r="G203" s="8" t="s">
        <v>73</v>
      </c>
      <c r="H203" s="8" t="s">
        <v>661</v>
      </c>
      <c r="I203" s="8"/>
      <c r="J203" s="8"/>
      <c r="K203" s="8" t="s">
        <v>571</v>
      </c>
      <c r="L203" s="49" t="s">
        <v>587</v>
      </c>
      <c r="M203" s="8"/>
      <c r="N203" s="8"/>
      <c r="O203" s="8"/>
      <c r="P203" s="8"/>
      <c r="Q203" s="8" t="s">
        <v>55</v>
      </c>
      <c r="R203" s="8" t="s">
        <v>56</v>
      </c>
      <c r="S203" s="8" t="s">
        <v>72</v>
      </c>
      <c r="T203" s="8" t="s">
        <v>1236</v>
      </c>
      <c r="U203" s="8" t="s">
        <v>1236</v>
      </c>
      <c r="V203" s="8" t="s">
        <v>1236</v>
      </c>
      <c r="W203" s="8" t="s">
        <v>1129</v>
      </c>
    </row>
    <row r="204" spans="1:23" x14ac:dyDescent="0.2">
      <c r="A204" s="8" t="s">
        <v>840</v>
      </c>
      <c r="B204" s="8" t="s">
        <v>47</v>
      </c>
      <c r="C204" s="8" t="s">
        <v>841</v>
      </c>
      <c r="D204" s="8" t="s">
        <v>49</v>
      </c>
      <c r="E204" s="8" t="s">
        <v>1297</v>
      </c>
      <c r="F204" s="8" t="s">
        <v>361</v>
      </c>
      <c r="G204" s="8" t="s">
        <v>57</v>
      </c>
      <c r="H204" s="8"/>
      <c r="I204" s="8"/>
      <c r="J204" s="8"/>
      <c r="K204" s="8" t="s">
        <v>571</v>
      </c>
      <c r="L204" s="49" t="s">
        <v>587</v>
      </c>
      <c r="M204" s="8"/>
      <c r="N204" s="8"/>
      <c r="O204" s="8"/>
      <c r="P204" s="8"/>
      <c r="Q204" s="8" t="s">
        <v>55</v>
      </c>
      <c r="R204" s="8" t="s">
        <v>56</v>
      </c>
      <c r="S204" s="8" t="s">
        <v>47</v>
      </c>
      <c r="T204" s="8" t="s">
        <v>1236</v>
      </c>
      <c r="U204" s="8" t="s">
        <v>1236</v>
      </c>
      <c r="V204" s="8" t="s">
        <v>1236</v>
      </c>
      <c r="W204" s="8"/>
    </row>
    <row r="205" spans="1:23" x14ac:dyDescent="0.2">
      <c r="A205" s="8" t="s">
        <v>843</v>
      </c>
      <c r="B205" s="8" t="s">
        <v>47</v>
      </c>
      <c r="C205" s="8" t="s">
        <v>844</v>
      </c>
      <c r="D205" s="8" t="s">
        <v>49</v>
      </c>
      <c r="E205" s="8" t="s">
        <v>1298</v>
      </c>
      <c r="F205" s="8" t="s">
        <v>361</v>
      </c>
      <c r="G205" s="8" t="s">
        <v>1</v>
      </c>
      <c r="H205" s="8" t="s">
        <v>661</v>
      </c>
      <c r="I205" s="8"/>
      <c r="J205" s="8"/>
      <c r="K205" s="8" t="s">
        <v>571</v>
      </c>
      <c r="L205" s="49" t="s">
        <v>587</v>
      </c>
      <c r="M205" s="8"/>
      <c r="N205" s="8"/>
      <c r="O205" s="8"/>
      <c r="P205" s="8"/>
      <c r="Q205" s="8" t="s">
        <v>55</v>
      </c>
      <c r="R205" s="8" t="s">
        <v>56</v>
      </c>
      <c r="S205" s="8" t="s">
        <v>72</v>
      </c>
      <c r="T205" s="8" t="s">
        <v>1236</v>
      </c>
      <c r="U205" s="8" t="s">
        <v>1236</v>
      </c>
      <c r="V205" s="8" t="s">
        <v>1236</v>
      </c>
      <c r="W205" s="8" t="s">
        <v>1129</v>
      </c>
    </row>
    <row r="206" spans="1:23" x14ac:dyDescent="0.2">
      <c r="A206" s="8" t="s">
        <v>846</v>
      </c>
      <c r="B206" s="8" t="s">
        <v>47</v>
      </c>
      <c r="C206" s="8" t="s">
        <v>847</v>
      </c>
      <c r="D206" s="8" t="s">
        <v>49</v>
      </c>
      <c r="E206" s="8" t="s">
        <v>1299</v>
      </c>
      <c r="F206" s="8" t="s">
        <v>361</v>
      </c>
      <c r="G206" s="8" t="s">
        <v>1</v>
      </c>
      <c r="H206" s="8" t="s">
        <v>661</v>
      </c>
      <c r="I206" s="8"/>
      <c r="J206" s="8"/>
      <c r="K206" s="8" t="s">
        <v>571</v>
      </c>
      <c r="L206" s="49" t="s">
        <v>587</v>
      </c>
      <c r="M206" s="8"/>
      <c r="N206" s="8"/>
      <c r="O206" s="8"/>
      <c r="P206" s="8"/>
      <c r="Q206" s="8" t="s">
        <v>55</v>
      </c>
      <c r="R206" s="8" t="s">
        <v>56</v>
      </c>
      <c r="S206" s="8" t="s">
        <v>72</v>
      </c>
      <c r="T206" s="8" t="s">
        <v>1236</v>
      </c>
      <c r="U206" s="8" t="s">
        <v>1236</v>
      </c>
      <c r="V206" s="8" t="s">
        <v>1236</v>
      </c>
      <c r="W206" s="8" t="s">
        <v>1129</v>
      </c>
    </row>
    <row r="207" spans="1:23" x14ac:dyDescent="0.2">
      <c r="A207" s="8" t="s">
        <v>849</v>
      </c>
      <c r="B207" s="8" t="s">
        <v>47</v>
      </c>
      <c r="C207" s="8" t="s">
        <v>850</v>
      </c>
      <c r="D207" s="8" t="s">
        <v>49</v>
      </c>
      <c r="E207" s="8" t="s">
        <v>1300</v>
      </c>
      <c r="F207" s="8" t="s">
        <v>361</v>
      </c>
      <c r="G207" s="8" t="s">
        <v>1</v>
      </c>
      <c r="H207" s="8" t="s">
        <v>661</v>
      </c>
      <c r="I207" s="8"/>
      <c r="J207" s="8"/>
      <c r="K207" s="8" t="s">
        <v>571</v>
      </c>
      <c r="L207" s="49" t="s">
        <v>587</v>
      </c>
      <c r="M207" s="8"/>
      <c r="N207" s="8"/>
      <c r="O207" s="8"/>
      <c r="P207" s="8"/>
      <c r="Q207" s="8" t="s">
        <v>55</v>
      </c>
      <c r="R207" s="8" t="s">
        <v>56</v>
      </c>
      <c r="S207" s="8" t="s">
        <v>72</v>
      </c>
      <c r="T207" s="8" t="s">
        <v>1236</v>
      </c>
      <c r="U207" s="8" t="s">
        <v>1236</v>
      </c>
      <c r="V207" s="8" t="s">
        <v>1236</v>
      </c>
      <c r="W207" s="8" t="s">
        <v>1129</v>
      </c>
    </row>
    <row r="208" spans="1:23" x14ac:dyDescent="0.2">
      <c r="A208" s="8" t="s">
        <v>852</v>
      </c>
      <c r="B208" s="8" t="s">
        <v>47</v>
      </c>
      <c r="C208" s="8" t="s">
        <v>853</v>
      </c>
      <c r="D208" s="8" t="s">
        <v>49</v>
      </c>
      <c r="E208" s="8" t="s">
        <v>1301</v>
      </c>
      <c r="F208" s="8" t="s">
        <v>361</v>
      </c>
      <c r="G208" s="8" t="s">
        <v>1</v>
      </c>
      <c r="H208" s="8" t="s">
        <v>661</v>
      </c>
      <c r="I208" s="8"/>
      <c r="J208" s="8"/>
      <c r="K208" s="8" t="s">
        <v>571</v>
      </c>
      <c r="L208" s="49" t="s">
        <v>587</v>
      </c>
      <c r="M208" s="8"/>
      <c r="N208" s="8"/>
      <c r="O208" s="8"/>
      <c r="P208" s="8"/>
      <c r="Q208" s="8" t="s">
        <v>55</v>
      </c>
      <c r="R208" s="8" t="s">
        <v>56</v>
      </c>
      <c r="S208" s="8" t="s">
        <v>72</v>
      </c>
      <c r="T208" s="8" t="s">
        <v>1236</v>
      </c>
      <c r="U208" s="8" t="s">
        <v>1236</v>
      </c>
      <c r="V208" s="8" t="s">
        <v>1236</v>
      </c>
      <c r="W208" s="8" t="s">
        <v>1165</v>
      </c>
    </row>
    <row r="209" spans="1:23" x14ac:dyDescent="0.2">
      <c r="A209" s="8" t="s">
        <v>855</v>
      </c>
      <c r="B209" s="8" t="s">
        <v>47</v>
      </c>
      <c r="C209" s="8" t="s">
        <v>856</v>
      </c>
      <c r="D209" s="8" t="s">
        <v>49</v>
      </c>
      <c r="E209" s="8" t="s">
        <v>1302</v>
      </c>
      <c r="F209" s="8" t="s">
        <v>745</v>
      </c>
      <c r="G209" s="8" t="s">
        <v>57</v>
      </c>
      <c r="H209" s="8"/>
      <c r="I209" s="8"/>
      <c r="J209" s="8"/>
      <c r="K209" s="8" t="s">
        <v>331</v>
      </c>
      <c r="L209" s="49" t="s">
        <v>746</v>
      </c>
      <c r="M209" s="8"/>
      <c r="N209" s="8"/>
      <c r="O209" s="8"/>
      <c r="P209" s="8"/>
      <c r="Q209" s="8" t="s">
        <v>55</v>
      </c>
      <c r="R209" s="8" t="s">
        <v>56</v>
      </c>
      <c r="S209" s="8" t="s">
        <v>47</v>
      </c>
      <c r="T209" s="8" t="s">
        <v>1279</v>
      </c>
      <c r="U209" s="8" t="s">
        <v>1279</v>
      </c>
      <c r="V209" s="8" t="s">
        <v>1279</v>
      </c>
      <c r="W209" s="8"/>
    </row>
    <row r="210" spans="1:23" x14ac:dyDescent="0.2">
      <c r="A210" s="8" t="s">
        <v>858</v>
      </c>
      <c r="B210" s="8" t="s">
        <v>47</v>
      </c>
      <c r="C210" s="8" t="s">
        <v>859</v>
      </c>
      <c r="D210" s="8" t="s">
        <v>49</v>
      </c>
      <c r="E210" s="8" t="s">
        <v>1303</v>
      </c>
      <c r="F210" s="8" t="s">
        <v>861</v>
      </c>
      <c r="G210" s="8" t="s">
        <v>1</v>
      </c>
      <c r="H210" s="8"/>
      <c r="I210" s="8"/>
      <c r="J210" s="8"/>
      <c r="K210" s="8" t="s">
        <v>371</v>
      </c>
      <c r="L210" s="49" t="s">
        <v>862</v>
      </c>
      <c r="M210" s="8"/>
      <c r="N210" s="8"/>
      <c r="O210" s="8"/>
      <c r="P210" s="8"/>
      <c r="Q210" s="8" t="s">
        <v>55</v>
      </c>
      <c r="R210" s="8" t="s">
        <v>56</v>
      </c>
      <c r="S210" s="8" t="s">
        <v>47</v>
      </c>
      <c r="T210" s="8" t="s">
        <v>1304</v>
      </c>
      <c r="U210" s="8" t="s">
        <v>1305</v>
      </c>
      <c r="V210" s="8" t="s">
        <v>1305</v>
      </c>
      <c r="W210" s="8"/>
    </row>
    <row r="211" spans="1:23" x14ac:dyDescent="0.2">
      <c r="A211" s="8" t="s">
        <v>864</v>
      </c>
      <c r="B211" s="8" t="s">
        <v>47</v>
      </c>
      <c r="C211" s="8" t="s">
        <v>865</v>
      </c>
      <c r="D211" s="8" t="s">
        <v>49</v>
      </c>
      <c r="E211" s="8" t="s">
        <v>1306</v>
      </c>
      <c r="F211" s="8" t="s">
        <v>83</v>
      </c>
      <c r="G211" s="8" t="s">
        <v>73</v>
      </c>
      <c r="H211" s="8" t="s">
        <v>1307</v>
      </c>
      <c r="I211" s="8"/>
      <c r="J211" s="8"/>
      <c r="K211" s="8" t="s">
        <v>592</v>
      </c>
      <c r="L211" s="49" t="s">
        <v>862</v>
      </c>
      <c r="M211" s="8"/>
      <c r="N211" s="8"/>
      <c r="O211" s="8"/>
      <c r="P211" s="8"/>
      <c r="Q211" s="8" t="s">
        <v>55</v>
      </c>
      <c r="R211" s="8" t="s">
        <v>56</v>
      </c>
      <c r="S211" s="8" t="s">
        <v>72</v>
      </c>
      <c r="T211" s="8" t="s">
        <v>1305</v>
      </c>
      <c r="U211" s="8" t="s">
        <v>1305</v>
      </c>
      <c r="V211" s="8" t="s">
        <v>1305</v>
      </c>
      <c r="W211" s="8" t="s">
        <v>1134</v>
      </c>
    </row>
    <row r="212" spans="1:23" x14ac:dyDescent="0.2">
      <c r="A212" s="8" t="s">
        <v>867</v>
      </c>
      <c r="B212" s="8" t="s">
        <v>47</v>
      </c>
      <c r="C212" s="8" t="s">
        <v>868</v>
      </c>
      <c r="D212" s="8" t="s">
        <v>49</v>
      </c>
      <c r="E212" s="8" t="s">
        <v>1308</v>
      </c>
      <c r="F212" s="8" t="s">
        <v>83</v>
      </c>
      <c r="G212" s="8" t="s">
        <v>73</v>
      </c>
      <c r="H212" s="8" t="s">
        <v>1307</v>
      </c>
      <c r="I212" s="8"/>
      <c r="J212" s="8"/>
      <c r="K212" s="8" t="s">
        <v>592</v>
      </c>
      <c r="L212" s="49" t="s">
        <v>862</v>
      </c>
      <c r="M212" s="8"/>
      <c r="N212" s="8"/>
      <c r="O212" s="8"/>
      <c r="P212" s="8"/>
      <c r="Q212" s="8" t="s">
        <v>55</v>
      </c>
      <c r="R212" s="8" t="s">
        <v>56</v>
      </c>
      <c r="S212" s="8" t="s">
        <v>72</v>
      </c>
      <c r="T212" s="8" t="s">
        <v>1305</v>
      </c>
      <c r="U212" s="8" t="s">
        <v>1305</v>
      </c>
      <c r="V212" s="8" t="s">
        <v>1305</v>
      </c>
      <c r="W212" s="8" t="s">
        <v>1134</v>
      </c>
    </row>
    <row r="213" spans="1:23" x14ac:dyDescent="0.2">
      <c r="A213" s="8" t="s">
        <v>870</v>
      </c>
      <c r="B213" s="8" t="s">
        <v>47</v>
      </c>
      <c r="C213" s="8" t="s">
        <v>871</v>
      </c>
      <c r="D213" s="8" t="s">
        <v>49</v>
      </c>
      <c r="E213" s="8" t="s">
        <v>1309</v>
      </c>
      <c r="F213" s="8" t="s">
        <v>83</v>
      </c>
      <c r="G213" s="8" t="s">
        <v>73</v>
      </c>
      <c r="H213" s="8" t="s">
        <v>1310</v>
      </c>
      <c r="I213" s="8"/>
      <c r="J213" s="8"/>
      <c r="K213" s="8" t="s">
        <v>873</v>
      </c>
      <c r="L213" s="49" t="s">
        <v>468</v>
      </c>
      <c r="M213" s="8"/>
      <c r="N213" s="8"/>
      <c r="O213" s="8"/>
      <c r="P213" s="8"/>
      <c r="Q213" s="8" t="s">
        <v>55</v>
      </c>
      <c r="R213" s="8" t="s">
        <v>56</v>
      </c>
      <c r="S213" s="8" t="s">
        <v>72</v>
      </c>
      <c r="T213" s="8" t="s">
        <v>1204</v>
      </c>
      <c r="U213" s="8" t="s">
        <v>1204</v>
      </c>
      <c r="V213" s="8" t="s">
        <v>1204</v>
      </c>
      <c r="W213" s="8" t="s">
        <v>1134</v>
      </c>
    </row>
    <row r="214" spans="1:23" x14ac:dyDescent="0.2">
      <c r="A214" s="8" t="s">
        <v>875</v>
      </c>
      <c r="B214" s="8" t="s">
        <v>47</v>
      </c>
      <c r="C214" s="8" t="s">
        <v>876</v>
      </c>
      <c r="D214" s="8" t="s">
        <v>49</v>
      </c>
      <c r="E214" s="8" t="s">
        <v>1311</v>
      </c>
      <c r="F214" s="8" t="s">
        <v>83</v>
      </c>
      <c r="G214" s="8" t="s">
        <v>73</v>
      </c>
      <c r="H214" s="8" t="s">
        <v>1312</v>
      </c>
      <c r="I214" s="8"/>
      <c r="J214" s="8"/>
      <c r="K214" s="8" t="s">
        <v>878</v>
      </c>
      <c r="L214" s="49" t="s">
        <v>462</v>
      </c>
      <c r="M214" s="8"/>
      <c r="N214" s="8"/>
      <c r="O214" s="8"/>
      <c r="P214" s="8"/>
      <c r="Q214" s="8" t="s">
        <v>55</v>
      </c>
      <c r="R214" s="8" t="s">
        <v>56</v>
      </c>
      <c r="S214" s="8" t="s">
        <v>72</v>
      </c>
      <c r="T214" s="8" t="s">
        <v>1313</v>
      </c>
      <c r="U214" s="8" t="s">
        <v>1313</v>
      </c>
      <c r="V214" s="8" t="s">
        <v>1313</v>
      </c>
      <c r="W214" s="8" t="s">
        <v>1134</v>
      </c>
    </row>
    <row r="215" spans="1:23" x14ac:dyDescent="0.2">
      <c r="A215" s="8" t="s">
        <v>879</v>
      </c>
      <c r="B215" s="8" t="s">
        <v>47</v>
      </c>
      <c r="C215" s="8" t="s">
        <v>880</v>
      </c>
      <c r="D215" s="8" t="s">
        <v>49</v>
      </c>
      <c r="E215" s="8" t="s">
        <v>1314</v>
      </c>
      <c r="F215" s="8" t="s">
        <v>83</v>
      </c>
      <c r="G215" s="8" t="s">
        <v>73</v>
      </c>
      <c r="H215" s="8" t="s">
        <v>358</v>
      </c>
      <c r="I215" s="8"/>
      <c r="J215" s="8"/>
      <c r="K215" s="8" t="s">
        <v>371</v>
      </c>
      <c r="L215" s="49" t="s">
        <v>882</v>
      </c>
      <c r="M215" s="8"/>
      <c r="N215" s="8"/>
      <c r="O215" s="8"/>
      <c r="P215" s="8"/>
      <c r="Q215" s="8" t="s">
        <v>55</v>
      </c>
      <c r="R215" s="8" t="s">
        <v>56</v>
      </c>
      <c r="S215" s="8" t="s">
        <v>72</v>
      </c>
      <c r="T215" s="8" t="s">
        <v>1304</v>
      </c>
      <c r="U215" s="8" t="s">
        <v>1304</v>
      </c>
      <c r="V215" s="8" t="s">
        <v>1304</v>
      </c>
      <c r="W215" s="8" t="s">
        <v>1134</v>
      </c>
    </row>
    <row r="216" spans="1:23" x14ac:dyDescent="0.2">
      <c r="A216" s="8" t="s">
        <v>884</v>
      </c>
      <c r="B216" s="8" t="s">
        <v>47</v>
      </c>
      <c r="C216" s="8" t="s">
        <v>885</v>
      </c>
      <c r="D216" s="8" t="s">
        <v>49</v>
      </c>
      <c r="E216" s="8" t="s">
        <v>1315</v>
      </c>
      <c r="F216" s="8" t="s">
        <v>887</v>
      </c>
      <c r="G216" s="8" t="s">
        <v>1</v>
      </c>
      <c r="H216" s="8"/>
      <c r="I216" s="8"/>
      <c r="J216" s="8"/>
      <c r="K216" s="8" t="s">
        <v>888</v>
      </c>
      <c r="L216" s="49" t="s">
        <v>862</v>
      </c>
      <c r="M216" s="8"/>
      <c r="N216" s="8"/>
      <c r="O216" s="8"/>
      <c r="P216" s="8"/>
      <c r="Q216" s="8" t="s">
        <v>55</v>
      </c>
      <c r="R216" s="8" t="s">
        <v>56</v>
      </c>
      <c r="S216" s="8" t="s">
        <v>47</v>
      </c>
      <c r="T216" s="8" t="s">
        <v>1304</v>
      </c>
      <c r="U216" s="8" t="s">
        <v>1305</v>
      </c>
      <c r="V216" s="8" t="s">
        <v>1305</v>
      </c>
      <c r="W216" s="8"/>
    </row>
    <row r="217" spans="1:23" x14ac:dyDescent="0.2">
      <c r="A217" s="8" t="s">
        <v>889</v>
      </c>
      <c r="B217" s="8" t="s">
        <v>47</v>
      </c>
      <c r="C217" s="8" t="s">
        <v>890</v>
      </c>
      <c r="D217" s="8" t="s">
        <v>49</v>
      </c>
      <c r="E217" s="8" t="s">
        <v>1316</v>
      </c>
      <c r="F217" s="8" t="s">
        <v>194</v>
      </c>
      <c r="G217" s="8" t="s">
        <v>73</v>
      </c>
      <c r="H217" s="8" t="s">
        <v>1317</v>
      </c>
      <c r="I217" s="8"/>
      <c r="J217" s="8"/>
      <c r="K217" s="8" t="s">
        <v>892</v>
      </c>
      <c r="L217" s="49" t="s">
        <v>862</v>
      </c>
      <c r="M217" s="8"/>
      <c r="N217" s="8"/>
      <c r="O217" s="8"/>
      <c r="P217" s="8"/>
      <c r="Q217" s="8" t="s">
        <v>55</v>
      </c>
      <c r="R217" s="8" t="s">
        <v>56</v>
      </c>
      <c r="S217" s="8" t="s">
        <v>72</v>
      </c>
      <c r="T217" s="8" t="s">
        <v>1305</v>
      </c>
      <c r="U217" s="8" t="s">
        <v>1305</v>
      </c>
      <c r="V217" s="8" t="s">
        <v>1305</v>
      </c>
      <c r="W217" s="8" t="s">
        <v>1134</v>
      </c>
    </row>
    <row r="218" spans="1:23" x14ac:dyDescent="0.2">
      <c r="A218" s="8" t="s">
        <v>894</v>
      </c>
      <c r="B218" s="8" t="s">
        <v>47</v>
      </c>
      <c r="C218" s="8" t="s">
        <v>895</v>
      </c>
      <c r="D218" s="8" t="s">
        <v>49</v>
      </c>
      <c r="E218" s="8" t="s">
        <v>1318</v>
      </c>
      <c r="F218" s="8" t="s">
        <v>194</v>
      </c>
      <c r="G218" s="8" t="s">
        <v>73</v>
      </c>
      <c r="H218" s="8" t="s">
        <v>1319</v>
      </c>
      <c r="I218" s="8"/>
      <c r="J218" s="8"/>
      <c r="K218" s="8" t="s">
        <v>897</v>
      </c>
      <c r="L218" s="49" t="s">
        <v>468</v>
      </c>
      <c r="M218" s="8"/>
      <c r="N218" s="8"/>
      <c r="O218" s="8"/>
      <c r="P218" s="8"/>
      <c r="Q218" s="8" t="s">
        <v>55</v>
      </c>
      <c r="R218" s="8" t="s">
        <v>56</v>
      </c>
      <c r="S218" s="8" t="s">
        <v>72</v>
      </c>
      <c r="T218" s="8" t="s">
        <v>1204</v>
      </c>
      <c r="U218" s="8" t="s">
        <v>1204</v>
      </c>
      <c r="V218" s="8" t="s">
        <v>1204</v>
      </c>
      <c r="W218" s="8" t="s">
        <v>1134</v>
      </c>
    </row>
    <row r="219" spans="1:23" x14ac:dyDescent="0.2">
      <c r="A219" s="8" t="s">
        <v>898</v>
      </c>
      <c r="B219" s="8" t="s">
        <v>47</v>
      </c>
      <c r="C219" s="8" t="s">
        <v>899</v>
      </c>
      <c r="D219" s="8" t="s">
        <v>49</v>
      </c>
      <c r="E219" s="8" t="s">
        <v>1320</v>
      </c>
      <c r="F219" s="8" t="s">
        <v>194</v>
      </c>
      <c r="G219" s="8" t="s">
        <v>73</v>
      </c>
      <c r="H219" s="8" t="s">
        <v>1321</v>
      </c>
      <c r="I219" s="8"/>
      <c r="J219" s="8"/>
      <c r="K219" s="8" t="s">
        <v>901</v>
      </c>
      <c r="L219" s="49" t="s">
        <v>462</v>
      </c>
      <c r="M219" s="8"/>
      <c r="N219" s="8"/>
      <c r="O219" s="8"/>
      <c r="P219" s="8"/>
      <c r="Q219" s="8" t="s">
        <v>55</v>
      </c>
      <c r="R219" s="8" t="s">
        <v>56</v>
      </c>
      <c r="S219" s="8" t="s">
        <v>72</v>
      </c>
      <c r="T219" s="8" t="s">
        <v>1313</v>
      </c>
      <c r="U219" s="8" t="s">
        <v>1313</v>
      </c>
      <c r="V219" s="8" t="s">
        <v>1313</v>
      </c>
      <c r="W219" s="8" t="s">
        <v>1134</v>
      </c>
    </row>
    <row r="220" spans="1:23" x14ac:dyDescent="0.2">
      <c r="A220" s="8" t="s">
        <v>903</v>
      </c>
      <c r="B220" s="8" t="s">
        <v>47</v>
      </c>
      <c r="C220" s="8" t="s">
        <v>904</v>
      </c>
      <c r="D220" s="8" t="s">
        <v>49</v>
      </c>
      <c r="E220" s="8" t="s">
        <v>1322</v>
      </c>
      <c r="F220" s="8" t="s">
        <v>194</v>
      </c>
      <c r="G220" s="8" t="s">
        <v>73</v>
      </c>
      <c r="H220" s="8" t="s">
        <v>1323</v>
      </c>
      <c r="I220" s="8"/>
      <c r="J220" s="8"/>
      <c r="K220" s="8" t="s">
        <v>888</v>
      </c>
      <c r="L220" s="49" t="s">
        <v>882</v>
      </c>
      <c r="M220" s="8"/>
      <c r="N220" s="8"/>
      <c r="O220" s="8"/>
      <c r="P220" s="8"/>
      <c r="Q220" s="8" t="s">
        <v>55</v>
      </c>
      <c r="R220" s="8" t="s">
        <v>56</v>
      </c>
      <c r="S220" s="8" t="s">
        <v>72</v>
      </c>
      <c r="T220" s="8" t="s">
        <v>1304</v>
      </c>
      <c r="U220" s="8" t="s">
        <v>1304</v>
      </c>
      <c r="V220" s="8" t="s">
        <v>1304</v>
      </c>
      <c r="W220" s="8" t="s">
        <v>1134</v>
      </c>
    </row>
    <row r="221" spans="1:23" x14ac:dyDescent="0.2">
      <c r="A221" s="8" t="s">
        <v>906</v>
      </c>
      <c r="B221" s="8" t="s">
        <v>47</v>
      </c>
      <c r="C221" s="8" t="s">
        <v>907</v>
      </c>
      <c r="D221" s="8" t="s">
        <v>49</v>
      </c>
      <c r="E221" s="8" t="s">
        <v>1324</v>
      </c>
      <c r="F221" s="8" t="s">
        <v>861</v>
      </c>
      <c r="G221" s="8" t="s">
        <v>1</v>
      </c>
      <c r="H221" s="8"/>
      <c r="I221" s="8"/>
      <c r="J221" s="8"/>
      <c r="K221" s="8" t="s">
        <v>371</v>
      </c>
      <c r="L221" s="49" t="s">
        <v>862</v>
      </c>
      <c r="M221" s="8"/>
      <c r="N221" s="8"/>
      <c r="O221" s="8"/>
      <c r="P221" s="8"/>
      <c r="Q221" s="8" t="s">
        <v>55</v>
      </c>
      <c r="R221" s="8" t="s">
        <v>56</v>
      </c>
      <c r="S221" s="8" t="s">
        <v>47</v>
      </c>
      <c r="T221" s="8" t="s">
        <v>1304</v>
      </c>
      <c r="U221" s="8" t="s">
        <v>1305</v>
      </c>
      <c r="V221" s="8" t="s">
        <v>1305</v>
      </c>
      <c r="W221" s="8"/>
    </row>
    <row r="222" spans="1:23" x14ac:dyDescent="0.2">
      <c r="A222" s="8" t="s">
        <v>909</v>
      </c>
      <c r="B222" s="8" t="s">
        <v>47</v>
      </c>
      <c r="C222" s="8" t="s">
        <v>910</v>
      </c>
      <c r="D222" s="8" t="s">
        <v>49</v>
      </c>
      <c r="E222" s="8" t="s">
        <v>1325</v>
      </c>
      <c r="F222" s="8" t="s">
        <v>83</v>
      </c>
      <c r="G222" s="8" t="s">
        <v>73</v>
      </c>
      <c r="H222" s="8" t="s">
        <v>1307</v>
      </c>
      <c r="I222" s="8"/>
      <c r="J222" s="8"/>
      <c r="K222" s="8" t="s">
        <v>592</v>
      </c>
      <c r="L222" s="49" t="s">
        <v>862</v>
      </c>
      <c r="M222" s="8"/>
      <c r="N222" s="8"/>
      <c r="O222" s="8"/>
      <c r="P222" s="8"/>
      <c r="Q222" s="8" t="s">
        <v>55</v>
      </c>
      <c r="R222" s="8" t="s">
        <v>56</v>
      </c>
      <c r="S222" s="8" t="s">
        <v>72</v>
      </c>
      <c r="T222" s="8" t="s">
        <v>1305</v>
      </c>
      <c r="U222" s="8" t="s">
        <v>1305</v>
      </c>
      <c r="V222" s="8" t="s">
        <v>1305</v>
      </c>
      <c r="W222" s="8" t="s">
        <v>1134</v>
      </c>
    </row>
    <row r="223" spans="1:23" x14ac:dyDescent="0.2">
      <c r="A223" s="8" t="s">
        <v>912</v>
      </c>
      <c r="B223" s="8" t="s">
        <v>47</v>
      </c>
      <c r="C223" s="8" t="s">
        <v>913</v>
      </c>
      <c r="D223" s="8" t="s">
        <v>49</v>
      </c>
      <c r="E223" s="8" t="s">
        <v>1326</v>
      </c>
      <c r="F223" s="8" t="s">
        <v>83</v>
      </c>
      <c r="G223" s="8" t="s">
        <v>73</v>
      </c>
      <c r="H223" s="8" t="s">
        <v>1310</v>
      </c>
      <c r="I223" s="8"/>
      <c r="J223" s="8"/>
      <c r="K223" s="8" t="s">
        <v>873</v>
      </c>
      <c r="L223" s="49" t="s">
        <v>468</v>
      </c>
      <c r="M223" s="8"/>
      <c r="N223" s="8"/>
      <c r="O223" s="8"/>
      <c r="P223" s="8"/>
      <c r="Q223" s="8" t="s">
        <v>55</v>
      </c>
      <c r="R223" s="8" t="s">
        <v>56</v>
      </c>
      <c r="S223" s="8" t="s">
        <v>72</v>
      </c>
      <c r="T223" s="8" t="s">
        <v>1204</v>
      </c>
      <c r="U223" s="8" t="s">
        <v>1204</v>
      </c>
      <c r="V223" s="8" t="s">
        <v>1204</v>
      </c>
      <c r="W223" s="8" t="s">
        <v>1134</v>
      </c>
    </row>
    <row r="224" spans="1:23" x14ac:dyDescent="0.2">
      <c r="A224" s="8" t="s">
        <v>915</v>
      </c>
      <c r="B224" s="8" t="s">
        <v>47</v>
      </c>
      <c r="C224" s="8" t="s">
        <v>916</v>
      </c>
      <c r="D224" s="8" t="s">
        <v>49</v>
      </c>
      <c r="E224" s="8" t="s">
        <v>1327</v>
      </c>
      <c r="F224" s="8" t="s">
        <v>83</v>
      </c>
      <c r="G224" s="8" t="s">
        <v>73</v>
      </c>
      <c r="H224" s="8" t="s">
        <v>1312</v>
      </c>
      <c r="I224" s="8"/>
      <c r="J224" s="8"/>
      <c r="K224" s="8" t="s">
        <v>878</v>
      </c>
      <c r="L224" s="49" t="s">
        <v>462</v>
      </c>
      <c r="M224" s="8"/>
      <c r="N224" s="8"/>
      <c r="O224" s="8"/>
      <c r="P224" s="8"/>
      <c r="Q224" s="8" t="s">
        <v>55</v>
      </c>
      <c r="R224" s="8" t="s">
        <v>56</v>
      </c>
      <c r="S224" s="8" t="s">
        <v>72</v>
      </c>
      <c r="T224" s="8" t="s">
        <v>1313</v>
      </c>
      <c r="U224" s="8" t="s">
        <v>1313</v>
      </c>
      <c r="V224" s="8" t="s">
        <v>1313</v>
      </c>
      <c r="W224" s="8" t="s">
        <v>1134</v>
      </c>
    </row>
    <row r="225" spans="1:23" x14ac:dyDescent="0.2">
      <c r="A225" s="8" t="s">
        <v>918</v>
      </c>
      <c r="B225" s="8" t="s">
        <v>47</v>
      </c>
      <c r="C225" s="8" t="s">
        <v>919</v>
      </c>
      <c r="D225" s="8" t="s">
        <v>49</v>
      </c>
      <c r="E225" s="8" t="s">
        <v>1328</v>
      </c>
      <c r="F225" s="8" t="s">
        <v>83</v>
      </c>
      <c r="G225" s="8" t="s">
        <v>73</v>
      </c>
      <c r="H225" s="8" t="s">
        <v>358</v>
      </c>
      <c r="I225" s="8"/>
      <c r="J225" s="8"/>
      <c r="K225" s="8" t="s">
        <v>371</v>
      </c>
      <c r="L225" s="49" t="s">
        <v>882</v>
      </c>
      <c r="M225" s="8"/>
      <c r="N225" s="8"/>
      <c r="O225" s="8"/>
      <c r="P225" s="8"/>
      <c r="Q225" s="8" t="s">
        <v>55</v>
      </c>
      <c r="R225" s="8" t="s">
        <v>56</v>
      </c>
      <c r="S225" s="8" t="s">
        <v>72</v>
      </c>
      <c r="T225" s="8" t="s">
        <v>1304</v>
      </c>
      <c r="U225" s="8" t="s">
        <v>1304</v>
      </c>
      <c r="V225" s="8" t="s">
        <v>1304</v>
      </c>
      <c r="W225" s="8" t="s">
        <v>1134</v>
      </c>
    </row>
    <row r="226" spans="1:23" x14ac:dyDescent="0.2">
      <c r="A226" s="8" t="s">
        <v>921</v>
      </c>
      <c r="B226" s="8" t="s">
        <v>47</v>
      </c>
      <c r="C226" s="8" t="s">
        <v>922</v>
      </c>
      <c r="D226" s="8" t="s">
        <v>49</v>
      </c>
      <c r="E226" s="8" t="s">
        <v>1329</v>
      </c>
      <c r="F226" s="8" t="s">
        <v>861</v>
      </c>
      <c r="G226" s="8" t="s">
        <v>1</v>
      </c>
      <c r="H226" s="8"/>
      <c r="I226" s="8"/>
      <c r="J226" s="8"/>
      <c r="K226" s="8" t="s">
        <v>371</v>
      </c>
      <c r="L226" s="49" t="s">
        <v>862</v>
      </c>
      <c r="M226" s="8"/>
      <c r="N226" s="8"/>
      <c r="O226" s="8"/>
      <c r="P226" s="8"/>
      <c r="Q226" s="8" t="s">
        <v>55</v>
      </c>
      <c r="R226" s="8" t="s">
        <v>56</v>
      </c>
      <c r="S226" s="8" t="s">
        <v>47</v>
      </c>
      <c r="T226" s="8" t="s">
        <v>1304</v>
      </c>
      <c r="U226" s="8" t="s">
        <v>1305</v>
      </c>
      <c r="V226" s="8" t="s">
        <v>1305</v>
      </c>
      <c r="W226" s="8"/>
    </row>
    <row r="227" spans="1:23" x14ac:dyDescent="0.2">
      <c r="A227" s="8" t="s">
        <v>924</v>
      </c>
      <c r="B227" s="8" t="s">
        <v>47</v>
      </c>
      <c r="C227" s="8" t="s">
        <v>925</v>
      </c>
      <c r="D227" s="8" t="s">
        <v>49</v>
      </c>
      <c r="E227" s="8" t="s">
        <v>1330</v>
      </c>
      <c r="F227" s="8" t="s">
        <v>83</v>
      </c>
      <c r="G227" s="8" t="s">
        <v>73</v>
      </c>
      <c r="H227" s="8" t="s">
        <v>1307</v>
      </c>
      <c r="I227" s="8"/>
      <c r="J227" s="8"/>
      <c r="K227" s="8" t="s">
        <v>592</v>
      </c>
      <c r="L227" s="49" t="s">
        <v>862</v>
      </c>
      <c r="M227" s="8"/>
      <c r="N227" s="8"/>
      <c r="O227" s="8"/>
      <c r="P227" s="8"/>
      <c r="Q227" s="8" t="s">
        <v>55</v>
      </c>
      <c r="R227" s="8" t="s">
        <v>56</v>
      </c>
      <c r="S227" s="8" t="s">
        <v>72</v>
      </c>
      <c r="T227" s="8" t="s">
        <v>1305</v>
      </c>
      <c r="U227" s="8" t="s">
        <v>1305</v>
      </c>
      <c r="V227" s="8" t="s">
        <v>1305</v>
      </c>
      <c r="W227" s="8" t="s">
        <v>1134</v>
      </c>
    </row>
    <row r="228" spans="1:23" x14ac:dyDescent="0.2">
      <c r="A228" s="8" t="s">
        <v>927</v>
      </c>
      <c r="B228" s="8" t="s">
        <v>47</v>
      </c>
      <c r="C228" s="8" t="s">
        <v>928</v>
      </c>
      <c r="D228" s="8" t="s">
        <v>49</v>
      </c>
      <c r="E228" s="8" t="s">
        <v>1331</v>
      </c>
      <c r="F228" s="8" t="s">
        <v>83</v>
      </c>
      <c r="G228" s="8" t="s">
        <v>73</v>
      </c>
      <c r="H228" s="8" t="s">
        <v>1307</v>
      </c>
      <c r="I228" s="8"/>
      <c r="J228" s="8"/>
      <c r="K228" s="8" t="s">
        <v>592</v>
      </c>
      <c r="L228" s="49" t="s">
        <v>862</v>
      </c>
      <c r="M228" s="8"/>
      <c r="N228" s="8"/>
      <c r="O228" s="8"/>
      <c r="P228" s="8"/>
      <c r="Q228" s="8" t="s">
        <v>55</v>
      </c>
      <c r="R228" s="8" t="s">
        <v>56</v>
      </c>
      <c r="S228" s="8" t="s">
        <v>72</v>
      </c>
      <c r="T228" s="8" t="s">
        <v>1305</v>
      </c>
      <c r="U228" s="8" t="s">
        <v>1305</v>
      </c>
      <c r="V228" s="8" t="s">
        <v>1305</v>
      </c>
      <c r="W228" s="8" t="s">
        <v>1134</v>
      </c>
    </row>
    <row r="229" spans="1:23" x14ac:dyDescent="0.2">
      <c r="A229" s="8" t="s">
        <v>930</v>
      </c>
      <c r="B229" s="8" t="s">
        <v>47</v>
      </c>
      <c r="C229" s="8" t="s">
        <v>931</v>
      </c>
      <c r="D229" s="8" t="s">
        <v>49</v>
      </c>
      <c r="E229" s="8" t="s">
        <v>1332</v>
      </c>
      <c r="F229" s="8" t="s">
        <v>83</v>
      </c>
      <c r="G229" s="8" t="s">
        <v>73</v>
      </c>
      <c r="H229" s="8" t="s">
        <v>1310</v>
      </c>
      <c r="I229" s="8"/>
      <c r="J229" s="8"/>
      <c r="K229" s="8" t="s">
        <v>873</v>
      </c>
      <c r="L229" s="49" t="s">
        <v>468</v>
      </c>
      <c r="M229" s="8"/>
      <c r="N229" s="8"/>
      <c r="O229" s="8"/>
      <c r="P229" s="8"/>
      <c r="Q229" s="8" t="s">
        <v>55</v>
      </c>
      <c r="R229" s="8" t="s">
        <v>56</v>
      </c>
      <c r="S229" s="8" t="s">
        <v>72</v>
      </c>
      <c r="T229" s="8" t="s">
        <v>1204</v>
      </c>
      <c r="U229" s="8" t="s">
        <v>1204</v>
      </c>
      <c r="V229" s="8" t="s">
        <v>1204</v>
      </c>
      <c r="W229" s="8" t="s">
        <v>1134</v>
      </c>
    </row>
    <row r="230" spans="1:23" x14ac:dyDescent="0.2">
      <c r="A230" s="8" t="s">
        <v>933</v>
      </c>
      <c r="B230" s="8" t="s">
        <v>47</v>
      </c>
      <c r="C230" s="8" t="s">
        <v>934</v>
      </c>
      <c r="D230" s="8" t="s">
        <v>49</v>
      </c>
      <c r="E230" s="8" t="s">
        <v>1333</v>
      </c>
      <c r="F230" s="8" t="s">
        <v>83</v>
      </c>
      <c r="G230" s="8" t="s">
        <v>73</v>
      </c>
      <c r="H230" s="8" t="s">
        <v>1312</v>
      </c>
      <c r="I230" s="8"/>
      <c r="J230" s="8"/>
      <c r="K230" s="8" t="s">
        <v>878</v>
      </c>
      <c r="L230" s="49" t="s">
        <v>462</v>
      </c>
      <c r="M230" s="8"/>
      <c r="N230" s="8"/>
      <c r="O230" s="8"/>
      <c r="P230" s="8"/>
      <c r="Q230" s="8" t="s">
        <v>55</v>
      </c>
      <c r="R230" s="8" t="s">
        <v>56</v>
      </c>
      <c r="S230" s="8" t="s">
        <v>72</v>
      </c>
      <c r="T230" s="8" t="s">
        <v>1313</v>
      </c>
      <c r="U230" s="8" t="s">
        <v>1313</v>
      </c>
      <c r="V230" s="8" t="s">
        <v>1313</v>
      </c>
      <c r="W230" s="8" t="s">
        <v>1134</v>
      </c>
    </row>
    <row r="231" spans="1:23" x14ac:dyDescent="0.2">
      <c r="A231" s="8" t="s">
        <v>936</v>
      </c>
      <c r="B231" s="8" t="s">
        <v>47</v>
      </c>
      <c r="C231" s="8" t="s">
        <v>937</v>
      </c>
      <c r="D231" s="8" t="s">
        <v>49</v>
      </c>
      <c r="E231" s="8" t="s">
        <v>1334</v>
      </c>
      <c r="F231" s="8" t="s">
        <v>83</v>
      </c>
      <c r="G231" s="8" t="s">
        <v>73</v>
      </c>
      <c r="H231" s="8" t="s">
        <v>358</v>
      </c>
      <c r="I231" s="8"/>
      <c r="J231" s="8"/>
      <c r="K231" s="8" t="s">
        <v>371</v>
      </c>
      <c r="L231" s="49" t="s">
        <v>882</v>
      </c>
      <c r="M231" s="8"/>
      <c r="N231" s="8"/>
      <c r="O231" s="8"/>
      <c r="P231" s="8"/>
      <c r="Q231" s="8" t="s">
        <v>55</v>
      </c>
      <c r="R231" s="8" t="s">
        <v>56</v>
      </c>
      <c r="S231" s="8" t="s">
        <v>72</v>
      </c>
      <c r="T231" s="8" t="s">
        <v>1304</v>
      </c>
      <c r="U231" s="8" t="s">
        <v>1304</v>
      </c>
      <c r="V231" s="8" t="s">
        <v>1304</v>
      </c>
      <c r="W231" s="8" t="s">
        <v>1134</v>
      </c>
    </row>
    <row r="232" spans="1:23" x14ac:dyDescent="0.2">
      <c r="A232" s="8" t="s">
        <v>939</v>
      </c>
      <c r="B232" s="8" t="s">
        <v>47</v>
      </c>
      <c r="C232" s="8" t="s">
        <v>940</v>
      </c>
      <c r="D232" s="8" t="s">
        <v>49</v>
      </c>
      <c r="E232" s="8" t="s">
        <v>1335</v>
      </c>
      <c r="F232" s="8" t="s">
        <v>83</v>
      </c>
      <c r="G232" s="8" t="s">
        <v>1</v>
      </c>
      <c r="H232" s="8"/>
      <c r="I232" s="8"/>
      <c r="J232" s="8"/>
      <c r="K232" s="8" t="s">
        <v>892</v>
      </c>
      <c r="L232" s="49" t="s">
        <v>597</v>
      </c>
      <c r="M232" s="8"/>
      <c r="N232" s="8"/>
      <c r="O232" s="8"/>
      <c r="P232" s="8"/>
      <c r="Q232" s="8" t="s">
        <v>55</v>
      </c>
      <c r="R232" s="8" t="s">
        <v>56</v>
      </c>
      <c r="S232" s="8" t="s">
        <v>47</v>
      </c>
      <c r="T232" s="8" t="s">
        <v>1239</v>
      </c>
      <c r="U232" s="8" t="s">
        <v>1239</v>
      </c>
      <c r="V232" s="8" t="s">
        <v>1239</v>
      </c>
      <c r="W232" s="8"/>
    </row>
    <row r="233" spans="1:23" x14ac:dyDescent="0.2">
      <c r="A233" s="8" t="s">
        <v>942</v>
      </c>
      <c r="B233" s="8" t="s">
        <v>47</v>
      </c>
      <c r="C233" s="8" t="s">
        <v>943</v>
      </c>
      <c r="D233" s="8" t="s">
        <v>49</v>
      </c>
      <c r="E233" s="8" t="s">
        <v>1336</v>
      </c>
      <c r="F233" s="8" t="s">
        <v>83</v>
      </c>
      <c r="G233" s="8" t="s">
        <v>73</v>
      </c>
      <c r="H233" s="8" t="s">
        <v>1317</v>
      </c>
      <c r="I233" s="8"/>
      <c r="J233" s="8"/>
      <c r="K233" s="8" t="s">
        <v>892</v>
      </c>
      <c r="L233" s="49" t="s">
        <v>597</v>
      </c>
      <c r="M233" s="8"/>
      <c r="N233" s="8"/>
      <c r="O233" s="8"/>
      <c r="P233" s="8"/>
      <c r="Q233" s="8" t="s">
        <v>55</v>
      </c>
      <c r="R233" s="8" t="s">
        <v>56</v>
      </c>
      <c r="S233" s="8" t="s">
        <v>72</v>
      </c>
      <c r="T233" s="8" t="s">
        <v>1239</v>
      </c>
      <c r="U233" s="8" t="s">
        <v>1239</v>
      </c>
      <c r="V233" s="8" t="s">
        <v>1239</v>
      </c>
      <c r="W233" s="8" t="s">
        <v>1129</v>
      </c>
    </row>
    <row r="234" spans="1:23" x14ac:dyDescent="0.2">
      <c r="A234" s="8" t="s">
        <v>945</v>
      </c>
      <c r="B234" s="8" t="s">
        <v>47</v>
      </c>
      <c r="C234" s="8" t="s">
        <v>946</v>
      </c>
      <c r="D234" s="8" t="s">
        <v>49</v>
      </c>
      <c r="E234" s="8" t="s">
        <v>1337</v>
      </c>
      <c r="F234" s="8" t="s">
        <v>745</v>
      </c>
      <c r="G234" s="8" t="s">
        <v>1</v>
      </c>
      <c r="H234" s="8"/>
      <c r="I234" s="8"/>
      <c r="J234" s="8"/>
      <c r="K234" s="8" t="s">
        <v>331</v>
      </c>
      <c r="L234" s="49" t="s">
        <v>746</v>
      </c>
      <c r="M234" s="8"/>
      <c r="N234" s="8"/>
      <c r="O234" s="8"/>
      <c r="P234" s="8"/>
      <c r="Q234" s="8" t="s">
        <v>55</v>
      </c>
      <c r="R234" s="8" t="s">
        <v>56</v>
      </c>
      <c r="S234" s="8" t="s">
        <v>47</v>
      </c>
      <c r="T234" s="8" t="s">
        <v>1279</v>
      </c>
      <c r="U234" s="8" t="s">
        <v>1279</v>
      </c>
      <c r="V234" s="8" t="s">
        <v>1279</v>
      </c>
      <c r="W234" s="8"/>
    </row>
    <row r="235" spans="1:23" x14ac:dyDescent="0.2">
      <c r="A235" s="8" t="s">
        <v>948</v>
      </c>
      <c r="B235" s="8" t="s">
        <v>47</v>
      </c>
      <c r="C235" s="8" t="s">
        <v>949</v>
      </c>
      <c r="D235" s="8" t="s">
        <v>49</v>
      </c>
      <c r="E235" s="8" t="s">
        <v>1338</v>
      </c>
      <c r="F235" s="8" t="s">
        <v>754</v>
      </c>
      <c r="G235" s="8" t="s">
        <v>73</v>
      </c>
      <c r="H235" s="8" t="s">
        <v>951</v>
      </c>
      <c r="I235" s="8"/>
      <c r="J235" s="8"/>
      <c r="K235" s="8" t="s">
        <v>780</v>
      </c>
      <c r="L235" s="49" t="s">
        <v>746</v>
      </c>
      <c r="M235" s="8"/>
      <c r="N235" s="8"/>
      <c r="O235" s="8"/>
      <c r="P235" s="8"/>
      <c r="Q235" s="8" t="s">
        <v>55</v>
      </c>
      <c r="R235" s="8" t="s">
        <v>56</v>
      </c>
      <c r="S235" s="8" t="s">
        <v>72</v>
      </c>
      <c r="T235" s="8" t="s">
        <v>1279</v>
      </c>
      <c r="U235" s="8" t="s">
        <v>1279</v>
      </c>
      <c r="V235" s="8" t="s">
        <v>1279</v>
      </c>
      <c r="W235" s="8" t="s">
        <v>1165</v>
      </c>
    </row>
    <row r="236" spans="1:23" x14ac:dyDescent="0.2">
      <c r="A236" s="8" t="s">
        <v>952</v>
      </c>
      <c r="B236" s="8" t="s">
        <v>47</v>
      </c>
      <c r="C236" s="8" t="s">
        <v>953</v>
      </c>
      <c r="D236" s="8" t="s">
        <v>49</v>
      </c>
      <c r="E236" s="8" t="s">
        <v>1339</v>
      </c>
      <c r="F236" s="8" t="s">
        <v>754</v>
      </c>
      <c r="G236" s="8" t="s">
        <v>73</v>
      </c>
      <c r="H236" s="8" t="s">
        <v>951</v>
      </c>
      <c r="I236" s="8"/>
      <c r="J236" s="8"/>
      <c r="K236" s="8" t="s">
        <v>780</v>
      </c>
      <c r="L236" s="49" t="s">
        <v>746</v>
      </c>
      <c r="M236" s="8"/>
      <c r="N236" s="8"/>
      <c r="O236" s="8"/>
      <c r="P236" s="8"/>
      <c r="Q236" s="8" t="s">
        <v>55</v>
      </c>
      <c r="R236" s="8" t="s">
        <v>56</v>
      </c>
      <c r="S236" s="8" t="s">
        <v>72</v>
      </c>
      <c r="T236" s="8" t="s">
        <v>1279</v>
      </c>
      <c r="U236" s="8" t="s">
        <v>1279</v>
      </c>
      <c r="V236" s="8" t="s">
        <v>1279</v>
      </c>
      <c r="W236" s="8" t="s">
        <v>1165</v>
      </c>
    </row>
    <row r="237" spans="1:23" x14ac:dyDescent="0.2">
      <c r="A237" s="8" t="s">
        <v>951</v>
      </c>
      <c r="B237" s="8" t="s">
        <v>47</v>
      </c>
      <c r="C237" s="8" t="s">
        <v>955</v>
      </c>
      <c r="D237" s="8" t="s">
        <v>49</v>
      </c>
      <c r="E237" s="8" t="s">
        <v>1340</v>
      </c>
      <c r="F237" s="8" t="s">
        <v>761</v>
      </c>
      <c r="G237" s="8" t="s">
        <v>73</v>
      </c>
      <c r="H237" s="8" t="s">
        <v>957</v>
      </c>
      <c r="I237" s="8"/>
      <c r="J237" s="8" t="s">
        <v>958</v>
      </c>
      <c r="K237" s="8" t="s">
        <v>771</v>
      </c>
      <c r="L237" s="49" t="s">
        <v>772</v>
      </c>
      <c r="M237" s="8"/>
      <c r="N237" s="8"/>
      <c r="O237" s="8"/>
      <c r="P237" s="8"/>
      <c r="Q237" s="8" t="s">
        <v>55</v>
      </c>
      <c r="R237" s="8" t="s">
        <v>56</v>
      </c>
      <c r="S237" s="8" t="s">
        <v>72</v>
      </c>
      <c r="T237" s="8" t="s">
        <v>1279</v>
      </c>
      <c r="U237" s="8" t="s">
        <v>1279</v>
      </c>
      <c r="V237" s="8" t="s">
        <v>212</v>
      </c>
      <c r="W237" s="8" t="s">
        <v>1165</v>
      </c>
    </row>
    <row r="238" spans="1:23" x14ac:dyDescent="0.2">
      <c r="A238" s="8" t="s">
        <v>957</v>
      </c>
      <c r="B238" s="8" t="s">
        <v>47</v>
      </c>
      <c r="C238" s="8" t="s">
        <v>959</v>
      </c>
      <c r="D238" s="8" t="s">
        <v>49</v>
      </c>
      <c r="E238" s="8" t="s">
        <v>1341</v>
      </c>
      <c r="F238" s="8" t="s">
        <v>761</v>
      </c>
      <c r="G238" s="8" t="s">
        <v>73</v>
      </c>
      <c r="H238" s="8" t="s">
        <v>961</v>
      </c>
      <c r="I238" s="8"/>
      <c r="J238" s="8" t="s">
        <v>951</v>
      </c>
      <c r="K238" s="8" t="s">
        <v>763</v>
      </c>
      <c r="L238" s="49" t="s">
        <v>764</v>
      </c>
      <c r="M238" s="8"/>
      <c r="N238" s="8"/>
      <c r="O238" s="8"/>
      <c r="P238" s="8"/>
      <c r="Q238" s="8" t="s">
        <v>55</v>
      </c>
      <c r="R238" s="8" t="s">
        <v>56</v>
      </c>
      <c r="S238" s="8" t="s">
        <v>72</v>
      </c>
      <c r="T238" s="8" t="s">
        <v>1279</v>
      </c>
      <c r="U238" s="8" t="s">
        <v>1279</v>
      </c>
      <c r="V238" s="8" t="s">
        <v>212</v>
      </c>
      <c r="W238" s="8" t="s">
        <v>1165</v>
      </c>
    </row>
    <row r="239" spans="1:23" x14ac:dyDescent="0.2">
      <c r="A239" s="8" t="s">
        <v>961</v>
      </c>
      <c r="B239" s="8" t="s">
        <v>47</v>
      </c>
      <c r="C239" s="8" t="s">
        <v>962</v>
      </c>
      <c r="D239" s="8" t="s">
        <v>49</v>
      </c>
      <c r="E239" s="8" t="s">
        <v>1342</v>
      </c>
      <c r="F239" s="8" t="s">
        <v>754</v>
      </c>
      <c r="G239" s="8" t="s">
        <v>73</v>
      </c>
      <c r="H239" s="8" t="s">
        <v>1281</v>
      </c>
      <c r="I239" s="8"/>
      <c r="J239" s="8" t="s">
        <v>957</v>
      </c>
      <c r="K239" s="8" t="s">
        <v>331</v>
      </c>
      <c r="L239" s="49" t="s">
        <v>756</v>
      </c>
      <c r="M239" s="8"/>
      <c r="N239" s="8"/>
      <c r="O239" s="8"/>
      <c r="P239" s="8"/>
      <c r="Q239" s="8" t="s">
        <v>55</v>
      </c>
      <c r="R239" s="8" t="s">
        <v>56</v>
      </c>
      <c r="S239" s="8" t="s">
        <v>72</v>
      </c>
      <c r="T239" s="8" t="s">
        <v>1279</v>
      </c>
      <c r="U239" s="8" t="s">
        <v>1279</v>
      </c>
      <c r="V239" s="8" t="s">
        <v>212</v>
      </c>
      <c r="W239" s="8" t="s">
        <v>1165</v>
      </c>
    </row>
    <row r="240" spans="1:23" x14ac:dyDescent="0.2">
      <c r="A240" s="8" t="s">
        <v>964</v>
      </c>
      <c r="B240" s="8" t="s">
        <v>47</v>
      </c>
      <c r="C240" s="8" t="s">
        <v>965</v>
      </c>
      <c r="D240" s="8" t="s">
        <v>49</v>
      </c>
      <c r="E240" s="8" t="s">
        <v>1343</v>
      </c>
      <c r="F240" s="8" t="s">
        <v>967</v>
      </c>
      <c r="G240" s="8" t="s">
        <v>1</v>
      </c>
      <c r="H240" s="8"/>
      <c r="I240" s="8"/>
      <c r="J240" s="8"/>
      <c r="K240" s="8" t="s">
        <v>968</v>
      </c>
      <c r="L240" s="49" t="s">
        <v>969</v>
      </c>
      <c r="M240" s="8"/>
      <c r="N240" s="8"/>
      <c r="O240" s="8"/>
      <c r="P240" s="8"/>
      <c r="Q240" s="8" t="s">
        <v>55</v>
      </c>
      <c r="R240" s="8" t="s">
        <v>56</v>
      </c>
      <c r="S240" s="8" t="s">
        <v>47</v>
      </c>
      <c r="T240" s="8" t="s">
        <v>1344</v>
      </c>
      <c r="U240" s="8" t="s">
        <v>1345</v>
      </c>
      <c r="V240" s="8" t="s">
        <v>1345</v>
      </c>
      <c r="W240" s="8"/>
    </row>
    <row r="241" spans="1:23" x14ac:dyDescent="0.2">
      <c r="A241" s="8" t="s">
        <v>972</v>
      </c>
      <c r="B241" s="8" t="s">
        <v>47</v>
      </c>
      <c r="C241" s="8" t="s">
        <v>973</v>
      </c>
      <c r="D241" s="8" t="s">
        <v>49</v>
      </c>
      <c r="E241" s="8" t="s">
        <v>1346</v>
      </c>
      <c r="F241" s="8" t="s">
        <v>975</v>
      </c>
      <c r="G241" s="8" t="s">
        <v>73</v>
      </c>
      <c r="H241" s="8" t="s">
        <v>976</v>
      </c>
      <c r="I241" s="8"/>
      <c r="J241" s="8"/>
      <c r="K241" s="8" t="s">
        <v>977</v>
      </c>
      <c r="L241" s="49" t="s">
        <v>969</v>
      </c>
      <c r="M241" s="8"/>
      <c r="N241" s="8"/>
      <c r="O241" s="8"/>
      <c r="P241" s="8"/>
      <c r="Q241" s="8" t="s">
        <v>55</v>
      </c>
      <c r="R241" s="8" t="s">
        <v>56</v>
      </c>
      <c r="S241" s="8" t="s">
        <v>72</v>
      </c>
      <c r="T241" s="8" t="s">
        <v>1345</v>
      </c>
      <c r="U241" s="8" t="s">
        <v>1345</v>
      </c>
      <c r="V241" s="8" t="s">
        <v>1345</v>
      </c>
      <c r="W241" s="8" t="s">
        <v>1165</v>
      </c>
    </row>
    <row r="242" spans="1:23" x14ac:dyDescent="0.2">
      <c r="A242" s="8" t="s">
        <v>976</v>
      </c>
      <c r="B242" s="8" t="s">
        <v>47</v>
      </c>
      <c r="C242" s="8" t="s">
        <v>980</v>
      </c>
      <c r="D242" s="8" t="s">
        <v>49</v>
      </c>
      <c r="E242" s="8" t="s">
        <v>1347</v>
      </c>
      <c r="F242" s="8" t="s">
        <v>975</v>
      </c>
      <c r="G242" s="8" t="s">
        <v>73</v>
      </c>
      <c r="H242" s="8" t="s">
        <v>1348</v>
      </c>
      <c r="I242" s="8"/>
      <c r="J242" s="8" t="s">
        <v>972</v>
      </c>
      <c r="K242" s="8" t="s">
        <v>982</v>
      </c>
      <c r="L242" s="49" t="s">
        <v>587</v>
      </c>
      <c r="M242" s="8"/>
      <c r="N242" s="8"/>
      <c r="O242" s="8"/>
      <c r="P242" s="8"/>
      <c r="Q242" s="8" t="s">
        <v>55</v>
      </c>
      <c r="R242" s="8" t="s">
        <v>56</v>
      </c>
      <c r="S242" s="8" t="s">
        <v>72</v>
      </c>
      <c r="T242" s="8" t="s">
        <v>1345</v>
      </c>
      <c r="U242" s="8" t="s">
        <v>1345</v>
      </c>
      <c r="V242" s="8" t="s">
        <v>212</v>
      </c>
      <c r="W242" s="8" t="s">
        <v>1165</v>
      </c>
    </row>
    <row r="243" spans="1:23" x14ac:dyDescent="0.2">
      <c r="A243" s="8" t="s">
        <v>984</v>
      </c>
      <c r="B243" s="8" t="s">
        <v>47</v>
      </c>
      <c r="C243" s="8" t="s">
        <v>985</v>
      </c>
      <c r="D243" s="8" t="s">
        <v>49</v>
      </c>
      <c r="E243" s="8" t="s">
        <v>1349</v>
      </c>
      <c r="F243" s="8" t="s">
        <v>975</v>
      </c>
      <c r="G243" s="8" t="s">
        <v>73</v>
      </c>
      <c r="H243" s="8" t="s">
        <v>1350</v>
      </c>
      <c r="I243" s="8"/>
      <c r="J243" s="8"/>
      <c r="K243" s="8" t="s">
        <v>987</v>
      </c>
      <c r="L243" s="49" t="s">
        <v>468</v>
      </c>
      <c r="M243" s="8"/>
      <c r="N243" s="8"/>
      <c r="O243" s="8"/>
      <c r="P243" s="8"/>
      <c r="Q243" s="8" t="s">
        <v>55</v>
      </c>
      <c r="R243" s="8" t="s">
        <v>56</v>
      </c>
      <c r="S243" s="8" t="s">
        <v>72</v>
      </c>
      <c r="T243" s="8" t="s">
        <v>1204</v>
      </c>
      <c r="U243" s="8" t="s">
        <v>1204</v>
      </c>
      <c r="V243" s="8" t="s">
        <v>1204</v>
      </c>
      <c r="W243" s="8" t="s">
        <v>1165</v>
      </c>
    </row>
    <row r="244" spans="1:23" x14ac:dyDescent="0.2">
      <c r="A244" s="8" t="s">
        <v>989</v>
      </c>
      <c r="B244" s="8" t="s">
        <v>47</v>
      </c>
      <c r="C244" s="8" t="s">
        <v>990</v>
      </c>
      <c r="D244" s="8" t="s">
        <v>49</v>
      </c>
      <c r="E244" s="8" t="s">
        <v>1351</v>
      </c>
      <c r="F244" s="8" t="s">
        <v>975</v>
      </c>
      <c r="G244" s="8" t="s">
        <v>73</v>
      </c>
      <c r="H244" s="8" t="s">
        <v>1352</v>
      </c>
      <c r="I244" s="8"/>
      <c r="J244" s="8"/>
      <c r="K244" s="8" t="s">
        <v>992</v>
      </c>
      <c r="L244" s="49" t="s">
        <v>462</v>
      </c>
      <c r="M244" s="8"/>
      <c r="N244" s="8"/>
      <c r="O244" s="8"/>
      <c r="P244" s="8"/>
      <c r="Q244" s="8" t="s">
        <v>55</v>
      </c>
      <c r="R244" s="8" t="s">
        <v>56</v>
      </c>
      <c r="S244" s="8" t="s">
        <v>72</v>
      </c>
      <c r="T244" s="8" t="s">
        <v>1313</v>
      </c>
      <c r="U244" s="8" t="s">
        <v>1313</v>
      </c>
      <c r="V244" s="8" t="s">
        <v>1313</v>
      </c>
      <c r="W244" s="8" t="s">
        <v>1165</v>
      </c>
    </row>
    <row r="245" spans="1:23" x14ac:dyDescent="0.2">
      <c r="A245" s="8" t="s">
        <v>994</v>
      </c>
      <c r="B245" s="8" t="s">
        <v>47</v>
      </c>
      <c r="C245" s="8" t="s">
        <v>995</v>
      </c>
      <c r="D245" s="8" t="s">
        <v>49</v>
      </c>
      <c r="E245" s="8" t="s">
        <v>1353</v>
      </c>
      <c r="F245" s="8" t="s">
        <v>975</v>
      </c>
      <c r="G245" s="8" t="s">
        <v>73</v>
      </c>
      <c r="H245" s="8" t="s">
        <v>1354</v>
      </c>
      <c r="I245" s="8"/>
      <c r="J245" s="8"/>
      <c r="K245" s="8" t="s">
        <v>968</v>
      </c>
      <c r="L245" s="49" t="s">
        <v>362</v>
      </c>
      <c r="M245" s="8"/>
      <c r="N245" s="8"/>
      <c r="O245" s="8"/>
      <c r="P245" s="8"/>
      <c r="Q245" s="8" t="s">
        <v>55</v>
      </c>
      <c r="R245" s="8" t="s">
        <v>56</v>
      </c>
      <c r="S245" s="8" t="s">
        <v>72</v>
      </c>
      <c r="T245" s="8" t="s">
        <v>1355</v>
      </c>
      <c r="U245" s="8" t="s">
        <v>1355</v>
      </c>
      <c r="V245" s="8" t="s">
        <v>1355</v>
      </c>
      <c r="W245" s="8" t="s">
        <v>1165</v>
      </c>
    </row>
    <row r="246" spans="1:23" x14ac:dyDescent="0.2">
      <c r="A246" s="8" t="s">
        <v>997</v>
      </c>
      <c r="B246" s="8" t="s">
        <v>47</v>
      </c>
      <c r="C246" s="8" t="s">
        <v>998</v>
      </c>
      <c r="D246" s="8" t="s">
        <v>49</v>
      </c>
      <c r="E246" s="8" t="s">
        <v>1356</v>
      </c>
      <c r="F246" s="8" t="s">
        <v>967</v>
      </c>
      <c r="G246" s="8" t="s">
        <v>1</v>
      </c>
      <c r="H246" s="8"/>
      <c r="I246" s="8"/>
      <c r="J246" s="8"/>
      <c r="K246" s="8" t="s">
        <v>968</v>
      </c>
      <c r="L246" s="49" t="s">
        <v>969</v>
      </c>
      <c r="M246" s="8"/>
      <c r="N246" s="8"/>
      <c r="O246" s="8"/>
      <c r="P246" s="8"/>
      <c r="Q246" s="8" t="s">
        <v>55</v>
      </c>
      <c r="R246" s="8" t="s">
        <v>56</v>
      </c>
      <c r="S246" s="8" t="s">
        <v>47</v>
      </c>
      <c r="T246" s="8" t="s">
        <v>1344</v>
      </c>
      <c r="U246" s="8" t="s">
        <v>1345</v>
      </c>
      <c r="V246" s="8" t="s">
        <v>1345</v>
      </c>
      <c r="W246" s="8"/>
    </row>
    <row r="247" spans="1:23" x14ac:dyDescent="0.2">
      <c r="A247" s="8" t="s">
        <v>1000</v>
      </c>
      <c r="B247" s="8" t="s">
        <v>47</v>
      </c>
      <c r="C247" s="8" t="s">
        <v>1001</v>
      </c>
      <c r="D247" s="8" t="s">
        <v>49</v>
      </c>
      <c r="E247" s="8" t="s">
        <v>1357</v>
      </c>
      <c r="F247" s="8" t="s">
        <v>975</v>
      </c>
      <c r="G247" s="8" t="s">
        <v>73</v>
      </c>
      <c r="H247" s="8" t="s">
        <v>1003</v>
      </c>
      <c r="I247" s="8"/>
      <c r="J247" s="8"/>
      <c r="K247" s="8" t="s">
        <v>977</v>
      </c>
      <c r="L247" s="49" t="s">
        <v>969</v>
      </c>
      <c r="M247" s="8"/>
      <c r="N247" s="8"/>
      <c r="O247" s="8"/>
      <c r="P247" s="8"/>
      <c r="Q247" s="8" t="s">
        <v>55</v>
      </c>
      <c r="R247" s="8" t="s">
        <v>56</v>
      </c>
      <c r="S247" s="8" t="s">
        <v>72</v>
      </c>
      <c r="T247" s="8" t="s">
        <v>1345</v>
      </c>
      <c r="U247" s="8" t="s">
        <v>1345</v>
      </c>
      <c r="V247" s="8" t="s">
        <v>1345</v>
      </c>
      <c r="W247" s="8" t="s">
        <v>1165</v>
      </c>
    </row>
    <row r="248" spans="1:23" x14ac:dyDescent="0.2">
      <c r="A248" s="8" t="s">
        <v>1003</v>
      </c>
      <c r="B248" s="8" t="s">
        <v>47</v>
      </c>
      <c r="C248" s="8" t="s">
        <v>1004</v>
      </c>
      <c r="D248" s="8" t="s">
        <v>49</v>
      </c>
      <c r="E248" s="8" t="s">
        <v>1358</v>
      </c>
      <c r="F248" s="8" t="s">
        <v>975</v>
      </c>
      <c r="G248" s="8" t="s">
        <v>73</v>
      </c>
      <c r="H248" s="8" t="s">
        <v>1348</v>
      </c>
      <c r="I248" s="8"/>
      <c r="J248" s="8" t="s">
        <v>1000</v>
      </c>
      <c r="K248" s="8" t="s">
        <v>982</v>
      </c>
      <c r="L248" s="49" t="s">
        <v>587</v>
      </c>
      <c r="M248" s="8"/>
      <c r="N248" s="8"/>
      <c r="O248" s="8"/>
      <c r="P248" s="8"/>
      <c r="Q248" s="8" t="s">
        <v>55</v>
      </c>
      <c r="R248" s="8" t="s">
        <v>56</v>
      </c>
      <c r="S248" s="8" t="s">
        <v>72</v>
      </c>
      <c r="T248" s="8" t="s">
        <v>1345</v>
      </c>
      <c r="U248" s="8" t="s">
        <v>1345</v>
      </c>
      <c r="V248" s="8" t="s">
        <v>212</v>
      </c>
      <c r="W248" s="8" t="s">
        <v>1165</v>
      </c>
    </row>
    <row r="249" spans="1:23" x14ac:dyDescent="0.2">
      <c r="A249" s="8" t="s">
        <v>1006</v>
      </c>
      <c r="B249" s="8" t="s">
        <v>47</v>
      </c>
      <c r="C249" s="8" t="s">
        <v>1007</v>
      </c>
      <c r="D249" s="8" t="s">
        <v>49</v>
      </c>
      <c r="E249" s="8" t="s">
        <v>1359</v>
      </c>
      <c r="F249" s="8" t="s">
        <v>975</v>
      </c>
      <c r="G249" s="8" t="s">
        <v>73</v>
      </c>
      <c r="H249" s="8" t="s">
        <v>1350</v>
      </c>
      <c r="I249" s="8"/>
      <c r="J249" s="8"/>
      <c r="K249" s="8" t="s">
        <v>987</v>
      </c>
      <c r="L249" s="49" t="s">
        <v>468</v>
      </c>
      <c r="M249" s="8"/>
      <c r="N249" s="8"/>
      <c r="O249" s="8"/>
      <c r="P249" s="8"/>
      <c r="Q249" s="8" t="s">
        <v>55</v>
      </c>
      <c r="R249" s="8" t="s">
        <v>56</v>
      </c>
      <c r="S249" s="8" t="s">
        <v>72</v>
      </c>
      <c r="T249" s="8" t="s">
        <v>1204</v>
      </c>
      <c r="U249" s="8" t="s">
        <v>1204</v>
      </c>
      <c r="V249" s="8" t="s">
        <v>1204</v>
      </c>
      <c r="W249" s="8" t="s">
        <v>1165</v>
      </c>
    </row>
    <row r="250" spans="1:23" x14ac:dyDescent="0.2">
      <c r="A250" s="8" t="s">
        <v>1009</v>
      </c>
      <c r="B250" s="8" t="s">
        <v>47</v>
      </c>
      <c r="C250" s="8" t="s">
        <v>1010</v>
      </c>
      <c r="D250" s="8" t="s">
        <v>49</v>
      </c>
      <c r="E250" s="8" t="s">
        <v>1360</v>
      </c>
      <c r="F250" s="8" t="s">
        <v>975</v>
      </c>
      <c r="G250" s="8" t="s">
        <v>73</v>
      </c>
      <c r="H250" s="8" t="s">
        <v>1352</v>
      </c>
      <c r="I250" s="8"/>
      <c r="J250" s="8"/>
      <c r="K250" s="8" t="s">
        <v>992</v>
      </c>
      <c r="L250" s="49" t="s">
        <v>462</v>
      </c>
      <c r="M250" s="8"/>
      <c r="N250" s="8"/>
      <c r="O250" s="8"/>
      <c r="P250" s="8"/>
      <c r="Q250" s="8" t="s">
        <v>55</v>
      </c>
      <c r="R250" s="8" t="s">
        <v>56</v>
      </c>
      <c r="S250" s="8" t="s">
        <v>72</v>
      </c>
      <c r="T250" s="8" t="s">
        <v>1313</v>
      </c>
      <c r="U250" s="8" t="s">
        <v>1313</v>
      </c>
      <c r="V250" s="8" t="s">
        <v>1313</v>
      </c>
      <c r="W250" s="8" t="s">
        <v>1165</v>
      </c>
    </row>
    <row r="251" spans="1:23" x14ac:dyDescent="0.2">
      <c r="A251" s="8" t="s">
        <v>1012</v>
      </c>
      <c r="B251" s="8" t="s">
        <v>47</v>
      </c>
      <c r="C251" s="8" t="s">
        <v>1013</v>
      </c>
      <c r="D251" s="8" t="s">
        <v>49</v>
      </c>
      <c r="E251" s="8" t="s">
        <v>1361</v>
      </c>
      <c r="F251" s="8" t="s">
        <v>975</v>
      </c>
      <c r="G251" s="8" t="s">
        <v>73</v>
      </c>
      <c r="H251" s="8" t="s">
        <v>1354</v>
      </c>
      <c r="I251" s="8"/>
      <c r="J251" s="8"/>
      <c r="K251" s="8" t="s">
        <v>968</v>
      </c>
      <c r="L251" s="49" t="s">
        <v>362</v>
      </c>
      <c r="M251" s="8"/>
      <c r="N251" s="8"/>
      <c r="O251" s="8"/>
      <c r="P251" s="8"/>
      <c r="Q251" s="8" t="s">
        <v>55</v>
      </c>
      <c r="R251" s="8" t="s">
        <v>56</v>
      </c>
      <c r="S251" s="8" t="s">
        <v>72</v>
      </c>
      <c r="T251" s="8" t="s">
        <v>1355</v>
      </c>
      <c r="U251" s="8" t="s">
        <v>1355</v>
      </c>
      <c r="V251" s="8" t="s">
        <v>1355</v>
      </c>
      <c r="W251" s="8" t="s">
        <v>1165</v>
      </c>
    </row>
  </sheetData>
  <autoFilter ref="A1:W251" xr:uid="{DAA67A3E-5CE8-42A4-9B95-EED852F90F73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51"/>
  <sheetViews>
    <sheetView workbookViewId="0">
      <pane ySplit="1" topLeftCell="A136" activePane="bottomLeft" state="frozen"/>
      <selection pane="bottomLeft" activeCell="J254" sqref="J254"/>
    </sheetView>
  </sheetViews>
  <sheetFormatPr baseColWidth="10" defaultColWidth="8.83203125" defaultRowHeight="15" x14ac:dyDescent="0.2"/>
  <sheetData>
    <row r="1" spans="1:22" x14ac:dyDescent="0.2">
      <c r="A1" s="8" t="s">
        <v>26</v>
      </c>
      <c r="B1" s="8" t="s">
        <v>27</v>
      </c>
      <c r="C1" s="8" t="s">
        <v>28</v>
      </c>
      <c r="D1" s="8" t="s">
        <v>29</v>
      </c>
      <c r="E1" s="8" t="s">
        <v>30</v>
      </c>
      <c r="F1" s="8" t="s">
        <v>31</v>
      </c>
      <c r="G1" s="8" t="s">
        <v>32</v>
      </c>
      <c r="H1" s="8" t="s">
        <v>33</v>
      </c>
      <c r="I1" s="8" t="s">
        <v>34</v>
      </c>
      <c r="J1" s="8" t="s">
        <v>35</v>
      </c>
      <c r="K1" s="8" t="s">
        <v>36</v>
      </c>
      <c r="L1" s="8" t="s">
        <v>37</v>
      </c>
      <c r="M1" s="8" t="s">
        <v>38</v>
      </c>
      <c r="N1" s="8" t="s">
        <v>39</v>
      </c>
      <c r="O1" s="8" t="s">
        <v>40</v>
      </c>
      <c r="P1" s="8" t="s">
        <v>41</v>
      </c>
      <c r="Q1" s="8" t="s">
        <v>42</v>
      </c>
      <c r="R1" s="8" t="s">
        <v>43</v>
      </c>
      <c r="S1" s="8" t="s">
        <v>44</v>
      </c>
      <c r="T1" s="8" t="s">
        <v>45</v>
      </c>
      <c r="U1" s="8" t="s">
        <v>46</v>
      </c>
      <c r="V1" s="8" t="s">
        <v>1074</v>
      </c>
    </row>
    <row r="2" spans="1:22" x14ac:dyDescent="0.2">
      <c r="A2" s="8" t="s">
        <v>0</v>
      </c>
      <c r="B2" s="8" t="s">
        <v>47</v>
      </c>
      <c r="C2" s="8" t="s">
        <v>48</v>
      </c>
      <c r="D2" s="8" t="s">
        <v>49</v>
      </c>
      <c r="E2" s="8" t="s">
        <v>1075</v>
      </c>
      <c r="F2" s="8" t="s">
        <v>50</v>
      </c>
      <c r="G2" s="8" t="s">
        <v>0</v>
      </c>
      <c r="H2" s="8"/>
      <c r="I2" s="8"/>
      <c r="J2" s="8" t="s">
        <v>51</v>
      </c>
      <c r="K2" s="8" t="s">
        <v>52</v>
      </c>
      <c r="L2" s="8" t="s">
        <v>53</v>
      </c>
      <c r="M2" s="8" t="s">
        <v>54</v>
      </c>
      <c r="N2" s="8" t="s">
        <v>53</v>
      </c>
      <c r="O2" s="8" t="s">
        <v>54</v>
      </c>
      <c r="P2" s="8" t="s">
        <v>55</v>
      </c>
      <c r="Q2" s="8" t="s">
        <v>56</v>
      </c>
      <c r="R2" s="8" t="s">
        <v>47</v>
      </c>
      <c r="S2" s="8" t="s">
        <v>212</v>
      </c>
      <c r="T2" s="8" t="s">
        <v>212</v>
      </c>
      <c r="U2" s="8" t="s">
        <v>212</v>
      </c>
      <c r="V2" s="8"/>
    </row>
    <row r="3" spans="1:22" x14ac:dyDescent="0.2">
      <c r="A3" s="8" t="s">
        <v>57</v>
      </c>
      <c r="B3" s="8" t="s">
        <v>47</v>
      </c>
      <c r="C3" s="8" t="s">
        <v>58</v>
      </c>
      <c r="D3" s="8" t="s">
        <v>49</v>
      </c>
      <c r="E3" s="8" t="s">
        <v>1076</v>
      </c>
      <c r="F3" s="8" t="s">
        <v>59</v>
      </c>
      <c r="G3" s="8" t="s">
        <v>57</v>
      </c>
      <c r="H3" s="8"/>
      <c r="I3" s="8"/>
      <c r="J3" s="8" t="s">
        <v>51</v>
      </c>
      <c r="K3" s="8" t="s">
        <v>60</v>
      </c>
      <c r="L3" s="8" t="s">
        <v>53</v>
      </c>
      <c r="M3" s="8" t="s">
        <v>61</v>
      </c>
      <c r="N3" s="8" t="s">
        <v>62</v>
      </c>
      <c r="O3" s="8" t="s">
        <v>54</v>
      </c>
      <c r="P3" s="8" t="s">
        <v>55</v>
      </c>
      <c r="Q3" s="8" t="s">
        <v>56</v>
      </c>
      <c r="R3" s="8" t="s">
        <v>47</v>
      </c>
      <c r="S3" s="8" t="s">
        <v>1077</v>
      </c>
      <c r="T3" s="8" t="s">
        <v>1077</v>
      </c>
      <c r="U3" s="8" t="s">
        <v>1077</v>
      </c>
      <c r="V3" s="8"/>
    </row>
    <row r="4" spans="1:22" x14ac:dyDescent="0.2">
      <c r="A4" s="8" t="s">
        <v>1</v>
      </c>
      <c r="B4" s="8" t="s">
        <v>47</v>
      </c>
      <c r="C4" s="8" t="s">
        <v>63</v>
      </c>
      <c r="D4" s="8" t="s">
        <v>49</v>
      </c>
      <c r="E4" s="8" t="s">
        <v>1078</v>
      </c>
      <c r="F4" s="8" t="s">
        <v>64</v>
      </c>
      <c r="G4" s="8" t="s">
        <v>1</v>
      </c>
      <c r="H4" s="8" t="s">
        <v>1079</v>
      </c>
      <c r="I4" s="8"/>
      <c r="J4" s="8" t="s">
        <v>65</v>
      </c>
      <c r="K4" s="8" t="s">
        <v>66</v>
      </c>
      <c r="L4" s="8" t="s">
        <v>67</v>
      </c>
      <c r="M4" s="8" t="s">
        <v>68</v>
      </c>
      <c r="N4" s="8" t="s">
        <v>69</v>
      </c>
      <c r="O4" s="8" t="s">
        <v>54</v>
      </c>
      <c r="P4" s="8" t="s">
        <v>70</v>
      </c>
      <c r="Q4" s="8" t="s">
        <v>71</v>
      </c>
      <c r="R4" s="8" t="s">
        <v>72</v>
      </c>
      <c r="S4" s="8" t="s">
        <v>1080</v>
      </c>
      <c r="T4" s="8" t="s">
        <v>1080</v>
      </c>
      <c r="U4" s="8" t="s">
        <v>1080</v>
      </c>
      <c r="V4" s="8" t="s">
        <v>1081</v>
      </c>
    </row>
    <row r="5" spans="1:22" x14ac:dyDescent="0.2">
      <c r="A5" s="8" t="s">
        <v>73</v>
      </c>
      <c r="B5" s="8" t="s">
        <v>47</v>
      </c>
      <c r="C5" s="8" t="s">
        <v>74</v>
      </c>
      <c r="D5" s="8" t="s">
        <v>49</v>
      </c>
      <c r="E5" s="8" t="s">
        <v>1082</v>
      </c>
      <c r="F5" s="8" t="s">
        <v>75</v>
      </c>
      <c r="G5" s="8" t="s">
        <v>1</v>
      </c>
      <c r="H5" s="8"/>
      <c r="I5" s="8" t="s">
        <v>1083</v>
      </c>
      <c r="J5" s="8" t="s">
        <v>51</v>
      </c>
      <c r="K5" s="8" t="s">
        <v>76</v>
      </c>
      <c r="L5" s="8" t="s">
        <v>53</v>
      </c>
      <c r="M5" s="8" t="s">
        <v>77</v>
      </c>
      <c r="N5" s="8" t="s">
        <v>78</v>
      </c>
      <c r="O5" s="8" t="s">
        <v>79</v>
      </c>
      <c r="P5" s="8" t="s">
        <v>55</v>
      </c>
      <c r="Q5" s="8" t="s">
        <v>56</v>
      </c>
      <c r="R5" s="8" t="s">
        <v>72</v>
      </c>
      <c r="S5" s="8" t="s">
        <v>1080</v>
      </c>
      <c r="T5" s="8" t="s">
        <v>1080</v>
      </c>
      <c r="U5" s="8" t="s">
        <v>212</v>
      </c>
      <c r="V5" s="8" t="s">
        <v>1081</v>
      </c>
    </row>
    <row r="6" spans="1:22" x14ac:dyDescent="0.2">
      <c r="A6" s="8" t="s">
        <v>80</v>
      </c>
      <c r="B6" s="8" t="s">
        <v>47</v>
      </c>
      <c r="C6" s="8" t="s">
        <v>81</v>
      </c>
      <c r="D6" s="8" t="s">
        <v>49</v>
      </c>
      <c r="E6" s="8" t="s">
        <v>1084</v>
      </c>
      <c r="F6" s="8" t="s">
        <v>59</v>
      </c>
      <c r="G6" s="8" t="s">
        <v>1</v>
      </c>
      <c r="H6" s="8"/>
      <c r="I6" s="8"/>
      <c r="J6" s="8" t="s">
        <v>51</v>
      </c>
      <c r="K6" s="8" t="s">
        <v>60</v>
      </c>
      <c r="L6" s="8" t="s">
        <v>53</v>
      </c>
      <c r="M6" s="8" t="s">
        <v>61</v>
      </c>
      <c r="N6" s="8" t="s">
        <v>62</v>
      </c>
      <c r="O6" s="8" t="s">
        <v>54</v>
      </c>
      <c r="P6" s="8" t="s">
        <v>55</v>
      </c>
      <c r="Q6" s="8" t="s">
        <v>56</v>
      </c>
      <c r="R6" s="8" t="s">
        <v>47</v>
      </c>
      <c r="S6" s="8" t="s">
        <v>1077</v>
      </c>
      <c r="T6" s="8" t="s">
        <v>1077</v>
      </c>
      <c r="U6" s="8" t="s">
        <v>1077</v>
      </c>
      <c r="V6" s="8"/>
    </row>
    <row r="7" spans="1:22" x14ac:dyDescent="0.2">
      <c r="A7" s="8" t="s">
        <v>2</v>
      </c>
      <c r="B7" s="8" t="s">
        <v>47</v>
      </c>
      <c r="C7" s="8" t="s">
        <v>82</v>
      </c>
      <c r="D7" s="8" t="s">
        <v>49</v>
      </c>
      <c r="E7" s="8" t="s">
        <v>1085</v>
      </c>
      <c r="F7" s="8" t="s">
        <v>83</v>
      </c>
      <c r="G7" s="8" t="s">
        <v>73</v>
      </c>
      <c r="H7" s="8"/>
      <c r="I7" s="8" t="s">
        <v>1086</v>
      </c>
      <c r="J7" s="8" t="s">
        <v>51</v>
      </c>
      <c r="K7" s="8" t="s">
        <v>84</v>
      </c>
      <c r="L7" s="8" t="s">
        <v>53</v>
      </c>
      <c r="M7" s="8" t="s">
        <v>85</v>
      </c>
      <c r="N7" s="8" t="s">
        <v>62</v>
      </c>
      <c r="O7" s="8" t="s">
        <v>86</v>
      </c>
      <c r="P7" s="8" t="s">
        <v>55</v>
      </c>
      <c r="Q7" s="8" t="s">
        <v>56</v>
      </c>
      <c r="R7" s="8" t="s">
        <v>72</v>
      </c>
      <c r="S7" s="8" t="s">
        <v>1077</v>
      </c>
      <c r="T7" s="8" t="s">
        <v>1077</v>
      </c>
      <c r="U7" s="8" t="s">
        <v>212</v>
      </c>
      <c r="V7" s="8" t="s">
        <v>1081</v>
      </c>
    </row>
    <row r="8" spans="1:22" x14ac:dyDescent="0.2">
      <c r="A8" s="8" t="s">
        <v>87</v>
      </c>
      <c r="B8" s="8" t="s">
        <v>47</v>
      </c>
      <c r="C8" s="8" t="s">
        <v>88</v>
      </c>
      <c r="D8" s="8" t="s">
        <v>49</v>
      </c>
      <c r="E8" s="8" t="s">
        <v>1087</v>
      </c>
      <c r="F8" s="8" t="s">
        <v>83</v>
      </c>
      <c r="G8" s="8" t="s">
        <v>73</v>
      </c>
      <c r="H8" s="8" t="s">
        <v>1088</v>
      </c>
      <c r="I8" s="8" t="s">
        <v>1089</v>
      </c>
      <c r="J8" s="8" t="s">
        <v>89</v>
      </c>
      <c r="K8" s="8" t="s">
        <v>90</v>
      </c>
      <c r="L8" s="8" t="s">
        <v>91</v>
      </c>
      <c r="M8" s="8" t="s">
        <v>92</v>
      </c>
      <c r="N8" s="8" t="s">
        <v>93</v>
      </c>
      <c r="O8" s="8" t="s">
        <v>94</v>
      </c>
      <c r="P8" s="8" t="s">
        <v>55</v>
      </c>
      <c r="Q8" s="8" t="s">
        <v>56</v>
      </c>
      <c r="R8" s="8" t="s">
        <v>72</v>
      </c>
      <c r="S8" s="8" t="s">
        <v>1077</v>
      </c>
      <c r="T8" s="8" t="s">
        <v>1077</v>
      </c>
      <c r="U8" s="8" t="s">
        <v>212</v>
      </c>
      <c r="V8" s="8" t="s">
        <v>1081</v>
      </c>
    </row>
    <row r="9" spans="1:22" x14ac:dyDescent="0.2">
      <c r="A9" s="8" t="s">
        <v>95</v>
      </c>
      <c r="B9" s="8" t="s">
        <v>47</v>
      </c>
      <c r="C9" s="8" t="s">
        <v>96</v>
      </c>
      <c r="D9" s="8" t="s">
        <v>49</v>
      </c>
      <c r="E9" s="8" t="s">
        <v>1090</v>
      </c>
      <c r="F9" s="8" t="s">
        <v>83</v>
      </c>
      <c r="G9" s="8" t="s">
        <v>73</v>
      </c>
      <c r="H9" s="8" t="s">
        <v>1086</v>
      </c>
      <c r="I9" s="8" t="s">
        <v>1091</v>
      </c>
      <c r="J9" s="8" t="s">
        <v>97</v>
      </c>
      <c r="K9" s="8" t="s">
        <v>98</v>
      </c>
      <c r="L9" s="8" t="s">
        <v>99</v>
      </c>
      <c r="M9" s="8" t="s">
        <v>100</v>
      </c>
      <c r="N9" s="8" t="s">
        <v>101</v>
      </c>
      <c r="O9" s="8" t="s">
        <v>102</v>
      </c>
      <c r="P9" s="8" t="s">
        <v>55</v>
      </c>
      <c r="Q9" s="8" t="s">
        <v>56</v>
      </c>
      <c r="R9" s="8" t="s">
        <v>72</v>
      </c>
      <c r="S9" s="8" t="s">
        <v>1077</v>
      </c>
      <c r="T9" s="8" t="s">
        <v>1077</v>
      </c>
      <c r="U9" s="8" t="s">
        <v>212</v>
      </c>
      <c r="V9" s="8" t="s">
        <v>1081</v>
      </c>
    </row>
    <row r="10" spans="1:22" x14ac:dyDescent="0.2">
      <c r="A10" s="8" t="s">
        <v>3</v>
      </c>
      <c r="B10" s="8" t="s">
        <v>47</v>
      </c>
      <c r="C10" s="8" t="s">
        <v>103</v>
      </c>
      <c r="D10" s="8" t="s">
        <v>49</v>
      </c>
      <c r="E10" s="8" t="s">
        <v>1092</v>
      </c>
      <c r="F10" s="8" t="s">
        <v>83</v>
      </c>
      <c r="G10" s="8" t="s">
        <v>73</v>
      </c>
      <c r="H10" s="8" t="s">
        <v>1089</v>
      </c>
      <c r="I10" s="8" t="s">
        <v>1093</v>
      </c>
      <c r="J10" s="8" t="s">
        <v>104</v>
      </c>
      <c r="K10" s="8" t="s">
        <v>105</v>
      </c>
      <c r="L10" s="8" t="s">
        <v>106</v>
      </c>
      <c r="M10" s="8" t="s">
        <v>107</v>
      </c>
      <c r="N10" s="8" t="s">
        <v>108</v>
      </c>
      <c r="O10" s="8" t="s">
        <v>109</v>
      </c>
      <c r="P10" s="8" t="s">
        <v>55</v>
      </c>
      <c r="Q10" s="8" t="s">
        <v>56</v>
      </c>
      <c r="R10" s="8" t="s">
        <v>72</v>
      </c>
      <c r="S10" s="8" t="s">
        <v>1077</v>
      </c>
      <c r="T10" s="8" t="s">
        <v>1077</v>
      </c>
      <c r="U10" s="8" t="s">
        <v>212</v>
      </c>
      <c r="V10" s="8" t="s">
        <v>1081</v>
      </c>
    </row>
    <row r="11" spans="1:22" x14ac:dyDescent="0.2">
      <c r="A11" s="8" t="s">
        <v>110</v>
      </c>
      <c r="B11" s="8" t="s">
        <v>47</v>
      </c>
      <c r="C11" s="8" t="s">
        <v>111</v>
      </c>
      <c r="D11" s="8" t="s">
        <v>49</v>
      </c>
      <c r="E11" s="8" t="s">
        <v>1094</v>
      </c>
      <c r="F11" s="8" t="s">
        <v>83</v>
      </c>
      <c r="G11" s="8" t="s">
        <v>73</v>
      </c>
      <c r="H11" s="8" t="s">
        <v>1091</v>
      </c>
      <c r="I11" s="8"/>
      <c r="J11" s="8" t="s">
        <v>112</v>
      </c>
      <c r="K11" s="8" t="s">
        <v>60</v>
      </c>
      <c r="L11" s="8" t="s">
        <v>113</v>
      </c>
      <c r="M11" s="8" t="s">
        <v>61</v>
      </c>
      <c r="N11" s="8" t="s">
        <v>114</v>
      </c>
      <c r="O11" s="8" t="s">
        <v>54</v>
      </c>
      <c r="P11" s="8" t="s">
        <v>55</v>
      </c>
      <c r="Q11" s="8" t="s">
        <v>56</v>
      </c>
      <c r="R11" s="8" t="s">
        <v>72</v>
      </c>
      <c r="S11" s="8" t="s">
        <v>1077</v>
      </c>
      <c r="T11" s="8" t="s">
        <v>1077</v>
      </c>
      <c r="U11" s="8" t="s">
        <v>1077</v>
      </c>
      <c r="V11" s="8" t="s">
        <v>1081</v>
      </c>
    </row>
    <row r="12" spans="1:22" x14ac:dyDescent="0.2">
      <c r="A12" s="8" t="s">
        <v>115</v>
      </c>
      <c r="B12" s="8" t="s">
        <v>47</v>
      </c>
      <c r="C12" s="8" t="s">
        <v>116</v>
      </c>
      <c r="D12" s="8" t="s">
        <v>49</v>
      </c>
      <c r="E12" s="8" t="s">
        <v>1095</v>
      </c>
      <c r="F12" s="8" t="s">
        <v>59</v>
      </c>
      <c r="G12" s="8" t="s">
        <v>1</v>
      </c>
      <c r="H12" s="8"/>
      <c r="I12" s="8"/>
      <c r="J12" s="8" t="s">
        <v>51</v>
      </c>
      <c r="K12" s="8" t="s">
        <v>60</v>
      </c>
      <c r="L12" s="8" t="s">
        <v>53</v>
      </c>
      <c r="M12" s="8" t="s">
        <v>61</v>
      </c>
      <c r="N12" s="8" t="s">
        <v>62</v>
      </c>
      <c r="O12" s="8" t="s">
        <v>54</v>
      </c>
      <c r="P12" s="8" t="s">
        <v>55</v>
      </c>
      <c r="Q12" s="8" t="s">
        <v>56</v>
      </c>
      <c r="R12" s="8" t="s">
        <v>47</v>
      </c>
      <c r="S12" s="8" t="s">
        <v>1077</v>
      </c>
      <c r="T12" s="8" t="s">
        <v>1077</v>
      </c>
      <c r="U12" s="8" t="s">
        <v>1077</v>
      </c>
      <c r="V12" s="8"/>
    </row>
    <row r="13" spans="1:22" x14ac:dyDescent="0.2">
      <c r="A13" s="8" t="s">
        <v>117</v>
      </c>
      <c r="B13" s="8" t="s">
        <v>47</v>
      </c>
      <c r="C13" s="8" t="s">
        <v>118</v>
      </c>
      <c r="D13" s="8" t="s">
        <v>49</v>
      </c>
      <c r="E13" s="8" t="s">
        <v>1085</v>
      </c>
      <c r="F13" s="8" t="s">
        <v>83</v>
      </c>
      <c r="G13" s="8" t="s">
        <v>73</v>
      </c>
      <c r="H13" s="8"/>
      <c r="I13" s="8" t="s">
        <v>1096</v>
      </c>
      <c r="J13" s="8" t="s">
        <v>51</v>
      </c>
      <c r="K13" s="8" t="s">
        <v>84</v>
      </c>
      <c r="L13" s="8" t="s">
        <v>53</v>
      </c>
      <c r="M13" s="8" t="s">
        <v>85</v>
      </c>
      <c r="N13" s="8" t="s">
        <v>62</v>
      </c>
      <c r="O13" s="8" t="s">
        <v>86</v>
      </c>
      <c r="P13" s="8" t="s">
        <v>55</v>
      </c>
      <c r="Q13" s="8" t="s">
        <v>56</v>
      </c>
      <c r="R13" s="8" t="s">
        <v>72</v>
      </c>
      <c r="S13" s="8" t="s">
        <v>1077</v>
      </c>
      <c r="T13" s="8" t="s">
        <v>1077</v>
      </c>
      <c r="U13" s="8" t="s">
        <v>212</v>
      </c>
      <c r="V13" s="8" t="s">
        <v>1081</v>
      </c>
    </row>
    <row r="14" spans="1:22" x14ac:dyDescent="0.2">
      <c r="A14" s="8" t="s">
        <v>119</v>
      </c>
      <c r="B14" s="8" t="s">
        <v>47</v>
      </c>
      <c r="C14" s="8" t="s">
        <v>120</v>
      </c>
      <c r="D14" s="8" t="s">
        <v>49</v>
      </c>
      <c r="E14" s="8" t="s">
        <v>1087</v>
      </c>
      <c r="F14" s="8" t="s">
        <v>83</v>
      </c>
      <c r="G14" s="8" t="s">
        <v>73</v>
      </c>
      <c r="H14" s="8" t="s">
        <v>1097</v>
      </c>
      <c r="I14" s="8" t="s">
        <v>1098</v>
      </c>
      <c r="J14" s="8" t="s">
        <v>89</v>
      </c>
      <c r="K14" s="8" t="s">
        <v>90</v>
      </c>
      <c r="L14" s="8" t="s">
        <v>91</v>
      </c>
      <c r="M14" s="8" t="s">
        <v>92</v>
      </c>
      <c r="N14" s="8" t="s">
        <v>93</v>
      </c>
      <c r="O14" s="8" t="s">
        <v>94</v>
      </c>
      <c r="P14" s="8" t="s">
        <v>55</v>
      </c>
      <c r="Q14" s="8" t="s">
        <v>56</v>
      </c>
      <c r="R14" s="8" t="s">
        <v>72</v>
      </c>
      <c r="S14" s="8" t="s">
        <v>1077</v>
      </c>
      <c r="T14" s="8" t="s">
        <v>1077</v>
      </c>
      <c r="U14" s="8" t="s">
        <v>212</v>
      </c>
      <c r="V14" s="8" t="s">
        <v>1081</v>
      </c>
    </row>
    <row r="15" spans="1:22" x14ac:dyDescent="0.2">
      <c r="A15" s="8" t="s">
        <v>121</v>
      </c>
      <c r="B15" s="8" t="s">
        <v>47</v>
      </c>
      <c r="C15" s="8" t="s">
        <v>122</v>
      </c>
      <c r="D15" s="8" t="s">
        <v>49</v>
      </c>
      <c r="E15" s="8" t="s">
        <v>1090</v>
      </c>
      <c r="F15" s="8" t="s">
        <v>83</v>
      </c>
      <c r="G15" s="8" t="s">
        <v>73</v>
      </c>
      <c r="H15" s="8" t="s">
        <v>1096</v>
      </c>
      <c r="I15" s="8" t="s">
        <v>1099</v>
      </c>
      <c r="J15" s="8" t="s">
        <v>97</v>
      </c>
      <c r="K15" s="8" t="s">
        <v>98</v>
      </c>
      <c r="L15" s="8" t="s">
        <v>99</v>
      </c>
      <c r="M15" s="8" t="s">
        <v>100</v>
      </c>
      <c r="N15" s="8" t="s">
        <v>101</v>
      </c>
      <c r="O15" s="8" t="s">
        <v>102</v>
      </c>
      <c r="P15" s="8" t="s">
        <v>55</v>
      </c>
      <c r="Q15" s="8" t="s">
        <v>56</v>
      </c>
      <c r="R15" s="8" t="s">
        <v>72</v>
      </c>
      <c r="S15" s="8" t="s">
        <v>1077</v>
      </c>
      <c r="T15" s="8" t="s">
        <v>1077</v>
      </c>
      <c r="U15" s="8" t="s">
        <v>212</v>
      </c>
      <c r="V15" s="8" t="s">
        <v>1081</v>
      </c>
    </row>
    <row r="16" spans="1:22" x14ac:dyDescent="0.2">
      <c r="A16" s="8" t="s">
        <v>123</v>
      </c>
      <c r="B16" s="8" t="s">
        <v>47</v>
      </c>
      <c r="C16" s="8" t="s">
        <v>124</v>
      </c>
      <c r="D16" s="8" t="s">
        <v>49</v>
      </c>
      <c r="E16" s="8" t="s">
        <v>1092</v>
      </c>
      <c r="F16" s="8" t="s">
        <v>83</v>
      </c>
      <c r="G16" s="8" t="s">
        <v>73</v>
      </c>
      <c r="H16" s="8" t="s">
        <v>1098</v>
      </c>
      <c r="I16" s="8" t="s">
        <v>1100</v>
      </c>
      <c r="J16" s="8" t="s">
        <v>104</v>
      </c>
      <c r="K16" s="8" t="s">
        <v>105</v>
      </c>
      <c r="L16" s="8" t="s">
        <v>106</v>
      </c>
      <c r="M16" s="8" t="s">
        <v>107</v>
      </c>
      <c r="N16" s="8" t="s">
        <v>108</v>
      </c>
      <c r="O16" s="8" t="s">
        <v>109</v>
      </c>
      <c r="P16" s="8" t="s">
        <v>55</v>
      </c>
      <c r="Q16" s="8" t="s">
        <v>56</v>
      </c>
      <c r="R16" s="8" t="s">
        <v>72</v>
      </c>
      <c r="S16" s="8" t="s">
        <v>1077</v>
      </c>
      <c r="T16" s="8" t="s">
        <v>1077</v>
      </c>
      <c r="U16" s="8" t="s">
        <v>212</v>
      </c>
      <c r="V16" s="8" t="s">
        <v>1081</v>
      </c>
    </row>
    <row r="17" spans="1:22" x14ac:dyDescent="0.2">
      <c r="A17" s="8" t="s">
        <v>125</v>
      </c>
      <c r="B17" s="8" t="s">
        <v>47</v>
      </c>
      <c r="C17" s="8" t="s">
        <v>126</v>
      </c>
      <c r="D17" s="8" t="s">
        <v>49</v>
      </c>
      <c r="E17" s="8" t="s">
        <v>1094</v>
      </c>
      <c r="F17" s="8" t="s">
        <v>83</v>
      </c>
      <c r="G17" s="8" t="s">
        <v>73</v>
      </c>
      <c r="H17" s="8" t="s">
        <v>1099</v>
      </c>
      <c r="I17" s="8"/>
      <c r="J17" s="8" t="s">
        <v>112</v>
      </c>
      <c r="K17" s="8" t="s">
        <v>60</v>
      </c>
      <c r="L17" s="8" t="s">
        <v>113</v>
      </c>
      <c r="M17" s="8" t="s">
        <v>61</v>
      </c>
      <c r="N17" s="8" t="s">
        <v>114</v>
      </c>
      <c r="O17" s="8" t="s">
        <v>54</v>
      </c>
      <c r="P17" s="8" t="s">
        <v>55</v>
      </c>
      <c r="Q17" s="8" t="s">
        <v>56</v>
      </c>
      <c r="R17" s="8" t="s">
        <v>72</v>
      </c>
      <c r="S17" s="8" t="s">
        <v>1077</v>
      </c>
      <c r="T17" s="8" t="s">
        <v>1077</v>
      </c>
      <c r="U17" s="8" t="s">
        <v>1077</v>
      </c>
      <c r="V17" s="8" t="s">
        <v>1081</v>
      </c>
    </row>
    <row r="18" spans="1:22" x14ac:dyDescent="0.2">
      <c r="A18" s="8" t="s">
        <v>127</v>
      </c>
      <c r="B18" s="8" t="s">
        <v>47</v>
      </c>
      <c r="C18" s="8" t="s">
        <v>128</v>
      </c>
      <c r="D18" s="8" t="s">
        <v>49</v>
      </c>
      <c r="E18" s="8" t="s">
        <v>1101</v>
      </c>
      <c r="F18" s="8" t="s">
        <v>129</v>
      </c>
      <c r="G18" s="8" t="s">
        <v>1</v>
      </c>
      <c r="H18" s="8"/>
      <c r="I18" s="8"/>
      <c r="J18" s="8" t="s">
        <v>51</v>
      </c>
      <c r="K18" s="8" t="s">
        <v>130</v>
      </c>
      <c r="L18" s="8" t="s">
        <v>53</v>
      </c>
      <c r="M18" s="8" t="s">
        <v>131</v>
      </c>
      <c r="N18" s="8" t="s">
        <v>132</v>
      </c>
      <c r="O18" s="8" t="s">
        <v>54</v>
      </c>
      <c r="P18" s="8" t="s">
        <v>55</v>
      </c>
      <c r="Q18" s="8" t="s">
        <v>56</v>
      </c>
      <c r="R18" s="8" t="s">
        <v>47</v>
      </c>
      <c r="S18" s="8" t="s">
        <v>1102</v>
      </c>
      <c r="T18" s="8" t="s">
        <v>1102</v>
      </c>
      <c r="U18" s="8" t="s">
        <v>1102</v>
      </c>
      <c r="V18" s="8"/>
    </row>
    <row r="19" spans="1:22" x14ac:dyDescent="0.2">
      <c r="A19" s="8" t="s">
        <v>133</v>
      </c>
      <c r="B19" s="8" t="s">
        <v>47</v>
      </c>
      <c r="C19" s="8" t="s">
        <v>134</v>
      </c>
      <c r="D19" s="8" t="s">
        <v>49</v>
      </c>
      <c r="E19" s="8" t="s">
        <v>1103</v>
      </c>
      <c r="F19" s="8" t="s">
        <v>135</v>
      </c>
      <c r="G19" s="8" t="s">
        <v>73</v>
      </c>
      <c r="H19" s="8"/>
      <c r="I19" s="8" t="s">
        <v>1104</v>
      </c>
      <c r="J19" s="8" t="s">
        <v>51</v>
      </c>
      <c r="K19" s="8" t="s">
        <v>136</v>
      </c>
      <c r="L19" s="8" t="s">
        <v>53</v>
      </c>
      <c r="M19" s="8" t="s">
        <v>137</v>
      </c>
      <c r="N19" s="8" t="s">
        <v>132</v>
      </c>
      <c r="O19" s="8" t="s">
        <v>138</v>
      </c>
      <c r="P19" s="8" t="s">
        <v>55</v>
      </c>
      <c r="Q19" s="8" t="s">
        <v>56</v>
      </c>
      <c r="R19" s="8" t="s">
        <v>72</v>
      </c>
      <c r="S19" s="8" t="s">
        <v>1102</v>
      </c>
      <c r="T19" s="8" t="s">
        <v>1102</v>
      </c>
      <c r="U19" s="8" t="s">
        <v>212</v>
      </c>
      <c r="V19" s="8" t="s">
        <v>1081</v>
      </c>
    </row>
    <row r="20" spans="1:22" x14ac:dyDescent="0.2">
      <c r="A20" s="8" t="s">
        <v>139</v>
      </c>
      <c r="B20" s="8" t="s">
        <v>47</v>
      </c>
      <c r="C20" s="8" t="s">
        <v>140</v>
      </c>
      <c r="D20" s="8" t="s">
        <v>49</v>
      </c>
      <c r="E20" s="8" t="s">
        <v>1105</v>
      </c>
      <c r="F20" s="8" t="s">
        <v>135</v>
      </c>
      <c r="G20" s="8" t="s">
        <v>73</v>
      </c>
      <c r="H20" s="8" t="s">
        <v>133</v>
      </c>
      <c r="I20" s="8" t="s">
        <v>1106</v>
      </c>
      <c r="J20" s="8" t="s">
        <v>141</v>
      </c>
      <c r="K20" s="8" t="s">
        <v>142</v>
      </c>
      <c r="L20" s="8" t="s">
        <v>143</v>
      </c>
      <c r="M20" s="8" t="s">
        <v>144</v>
      </c>
      <c r="N20" s="8" t="s">
        <v>145</v>
      </c>
      <c r="O20" s="8" t="s">
        <v>146</v>
      </c>
      <c r="P20" s="8" t="s">
        <v>55</v>
      </c>
      <c r="Q20" s="8" t="s">
        <v>56</v>
      </c>
      <c r="R20" s="8" t="s">
        <v>72</v>
      </c>
      <c r="S20" s="8" t="s">
        <v>1107</v>
      </c>
      <c r="T20" s="8" t="s">
        <v>1107</v>
      </c>
      <c r="U20" s="8" t="s">
        <v>212</v>
      </c>
      <c r="V20" s="8" t="s">
        <v>1081</v>
      </c>
    </row>
    <row r="21" spans="1:22" x14ac:dyDescent="0.2">
      <c r="A21" s="8" t="s">
        <v>147</v>
      </c>
      <c r="B21" s="8" t="s">
        <v>47</v>
      </c>
      <c r="C21" s="8" t="s">
        <v>148</v>
      </c>
      <c r="D21" s="8" t="s">
        <v>49</v>
      </c>
      <c r="E21" s="8" t="s">
        <v>1108</v>
      </c>
      <c r="F21" s="8" t="s">
        <v>135</v>
      </c>
      <c r="G21" s="8" t="s">
        <v>73</v>
      </c>
      <c r="H21" s="8" t="s">
        <v>1109</v>
      </c>
      <c r="I21" s="8" t="s">
        <v>1110</v>
      </c>
      <c r="J21" s="8" t="s">
        <v>149</v>
      </c>
      <c r="K21" s="8" t="s">
        <v>150</v>
      </c>
      <c r="L21" s="8" t="s">
        <v>151</v>
      </c>
      <c r="M21" s="8" t="s">
        <v>152</v>
      </c>
      <c r="N21" s="8" t="s">
        <v>153</v>
      </c>
      <c r="O21" s="8" t="s">
        <v>154</v>
      </c>
      <c r="P21" s="8" t="s">
        <v>55</v>
      </c>
      <c r="Q21" s="8" t="s">
        <v>56</v>
      </c>
      <c r="R21" s="8" t="s">
        <v>72</v>
      </c>
      <c r="S21" s="8" t="s">
        <v>1107</v>
      </c>
      <c r="T21" s="8" t="s">
        <v>1107</v>
      </c>
      <c r="U21" s="8" t="s">
        <v>212</v>
      </c>
      <c r="V21" s="8" t="s">
        <v>1081</v>
      </c>
    </row>
    <row r="22" spans="1:22" x14ac:dyDescent="0.2">
      <c r="A22" s="8" t="s">
        <v>155</v>
      </c>
      <c r="B22" s="8" t="s">
        <v>47</v>
      </c>
      <c r="C22" s="8" t="s">
        <v>156</v>
      </c>
      <c r="D22" s="8" t="s">
        <v>49</v>
      </c>
      <c r="E22" s="8" t="s">
        <v>1111</v>
      </c>
      <c r="F22" s="8" t="s">
        <v>135</v>
      </c>
      <c r="G22" s="8" t="s">
        <v>73</v>
      </c>
      <c r="H22" s="8" t="s">
        <v>1106</v>
      </c>
      <c r="I22" s="8" t="s">
        <v>1112</v>
      </c>
      <c r="J22" s="8" t="s">
        <v>157</v>
      </c>
      <c r="K22" s="8" t="s">
        <v>158</v>
      </c>
      <c r="L22" s="8" t="s">
        <v>159</v>
      </c>
      <c r="M22" s="8" t="s">
        <v>160</v>
      </c>
      <c r="N22" s="8" t="s">
        <v>161</v>
      </c>
      <c r="O22" s="8" t="s">
        <v>162</v>
      </c>
      <c r="P22" s="8" t="s">
        <v>55</v>
      </c>
      <c r="Q22" s="8" t="s">
        <v>56</v>
      </c>
      <c r="R22" s="8" t="s">
        <v>72</v>
      </c>
      <c r="S22" s="8" t="s">
        <v>1107</v>
      </c>
      <c r="T22" s="8" t="s">
        <v>1107</v>
      </c>
      <c r="U22" s="8" t="s">
        <v>212</v>
      </c>
      <c r="V22" s="8" t="s">
        <v>1081</v>
      </c>
    </row>
    <row r="23" spans="1:22" x14ac:dyDescent="0.2">
      <c r="A23" s="8" t="s">
        <v>163</v>
      </c>
      <c r="B23" s="8" t="s">
        <v>47</v>
      </c>
      <c r="C23" s="8" t="s">
        <v>164</v>
      </c>
      <c r="D23" s="8" t="s">
        <v>49</v>
      </c>
      <c r="E23" s="8" t="s">
        <v>1113</v>
      </c>
      <c r="F23" s="8" t="s">
        <v>135</v>
      </c>
      <c r="G23" s="8" t="s">
        <v>73</v>
      </c>
      <c r="H23" s="8" t="s">
        <v>1110</v>
      </c>
      <c r="I23" s="8" t="s">
        <v>1114</v>
      </c>
      <c r="J23" s="8" t="s">
        <v>165</v>
      </c>
      <c r="K23" s="8" t="s">
        <v>166</v>
      </c>
      <c r="L23" s="8" t="s">
        <v>167</v>
      </c>
      <c r="M23" s="8" t="s">
        <v>168</v>
      </c>
      <c r="N23" s="8" t="s">
        <v>169</v>
      </c>
      <c r="O23" s="8" t="s">
        <v>170</v>
      </c>
      <c r="P23" s="8" t="s">
        <v>55</v>
      </c>
      <c r="Q23" s="8" t="s">
        <v>56</v>
      </c>
      <c r="R23" s="8" t="s">
        <v>72</v>
      </c>
      <c r="S23" s="8" t="s">
        <v>1107</v>
      </c>
      <c r="T23" s="8" t="s">
        <v>1107</v>
      </c>
      <c r="U23" s="8" t="s">
        <v>212</v>
      </c>
      <c r="V23" s="8" t="s">
        <v>1081</v>
      </c>
    </row>
    <row r="24" spans="1:22" x14ac:dyDescent="0.2">
      <c r="A24" s="8" t="s">
        <v>171</v>
      </c>
      <c r="B24" s="8" t="s">
        <v>47</v>
      </c>
      <c r="C24" s="8" t="s">
        <v>172</v>
      </c>
      <c r="D24" s="8" t="s">
        <v>49</v>
      </c>
      <c r="E24" s="8" t="s">
        <v>1115</v>
      </c>
      <c r="F24" s="8" t="s">
        <v>135</v>
      </c>
      <c r="G24" s="8" t="s">
        <v>73</v>
      </c>
      <c r="H24" s="8" t="s">
        <v>1112</v>
      </c>
      <c r="I24" s="8" t="s">
        <v>1116</v>
      </c>
      <c r="J24" s="8" t="s">
        <v>173</v>
      </c>
      <c r="K24" s="8" t="s">
        <v>174</v>
      </c>
      <c r="L24" s="8" t="s">
        <v>175</v>
      </c>
      <c r="M24" s="8" t="s">
        <v>176</v>
      </c>
      <c r="N24" s="8" t="s">
        <v>177</v>
      </c>
      <c r="O24" s="8" t="s">
        <v>69</v>
      </c>
      <c r="P24" s="8" t="s">
        <v>55</v>
      </c>
      <c r="Q24" s="8" t="s">
        <v>56</v>
      </c>
      <c r="R24" s="8" t="s">
        <v>72</v>
      </c>
      <c r="S24" s="8" t="s">
        <v>1107</v>
      </c>
      <c r="T24" s="8" t="s">
        <v>1107</v>
      </c>
      <c r="U24" s="8" t="s">
        <v>212</v>
      </c>
      <c r="V24" s="8" t="s">
        <v>1081</v>
      </c>
    </row>
    <row r="25" spans="1:22" x14ac:dyDescent="0.2">
      <c r="A25" s="8" t="s">
        <v>178</v>
      </c>
      <c r="B25" s="8" t="s">
        <v>47</v>
      </c>
      <c r="C25" s="8" t="s">
        <v>179</v>
      </c>
      <c r="D25" s="8" t="s">
        <v>49</v>
      </c>
      <c r="E25" s="8" t="s">
        <v>1117</v>
      </c>
      <c r="F25" s="8" t="s">
        <v>135</v>
      </c>
      <c r="G25" s="8" t="s">
        <v>73</v>
      </c>
      <c r="H25" s="8" t="s">
        <v>1114</v>
      </c>
      <c r="I25" s="8"/>
      <c r="J25" s="8" t="s">
        <v>180</v>
      </c>
      <c r="K25" s="8" t="s">
        <v>181</v>
      </c>
      <c r="L25" s="8" t="s">
        <v>182</v>
      </c>
      <c r="M25" s="8" t="s">
        <v>183</v>
      </c>
      <c r="N25" s="8" t="s">
        <v>184</v>
      </c>
      <c r="O25" s="8" t="s">
        <v>54</v>
      </c>
      <c r="P25" s="8" t="s">
        <v>55</v>
      </c>
      <c r="Q25" s="8" t="s">
        <v>56</v>
      </c>
      <c r="R25" s="8" t="s">
        <v>72</v>
      </c>
      <c r="S25" s="8" t="s">
        <v>1107</v>
      </c>
      <c r="T25" s="8" t="s">
        <v>1107</v>
      </c>
      <c r="U25" s="8" t="s">
        <v>1107</v>
      </c>
      <c r="V25" s="8" t="s">
        <v>1081</v>
      </c>
    </row>
    <row r="26" spans="1:22" x14ac:dyDescent="0.2">
      <c r="A26" s="8" t="s">
        <v>185</v>
      </c>
      <c r="B26" s="8" t="s">
        <v>47</v>
      </c>
      <c r="C26" s="8" t="s">
        <v>186</v>
      </c>
      <c r="D26" s="8" t="s">
        <v>49</v>
      </c>
      <c r="E26" s="8" t="s">
        <v>1118</v>
      </c>
      <c r="F26" s="8" t="s">
        <v>187</v>
      </c>
      <c r="G26" s="8" t="s">
        <v>73</v>
      </c>
      <c r="H26" s="8" t="s">
        <v>1119</v>
      </c>
      <c r="I26" s="8"/>
      <c r="J26" s="8" t="s">
        <v>188</v>
      </c>
      <c r="K26" s="8" t="s">
        <v>130</v>
      </c>
      <c r="L26" s="8" t="s">
        <v>85</v>
      </c>
      <c r="M26" s="8" t="s">
        <v>131</v>
      </c>
      <c r="N26" s="8" t="s">
        <v>189</v>
      </c>
      <c r="O26" s="8" t="s">
        <v>54</v>
      </c>
      <c r="P26" s="8" t="s">
        <v>55</v>
      </c>
      <c r="Q26" s="8" t="s">
        <v>56</v>
      </c>
      <c r="R26" s="8" t="s">
        <v>72</v>
      </c>
      <c r="S26" s="8" t="s">
        <v>1102</v>
      </c>
      <c r="T26" s="8" t="s">
        <v>1102</v>
      </c>
      <c r="U26" s="8" t="s">
        <v>1102</v>
      </c>
      <c r="V26" s="8" t="s">
        <v>1081</v>
      </c>
    </row>
    <row r="27" spans="1:22" x14ac:dyDescent="0.2">
      <c r="A27" s="8" t="s">
        <v>190</v>
      </c>
      <c r="B27" s="8" t="s">
        <v>47</v>
      </c>
      <c r="C27" s="8" t="s">
        <v>191</v>
      </c>
      <c r="D27" s="8" t="s">
        <v>49</v>
      </c>
      <c r="E27" s="8" t="s">
        <v>1120</v>
      </c>
      <c r="F27" s="8" t="s">
        <v>187</v>
      </c>
      <c r="G27" s="8" t="s">
        <v>73</v>
      </c>
      <c r="H27" s="8" t="s">
        <v>1119</v>
      </c>
      <c r="I27" s="8"/>
      <c r="J27" s="8" t="s">
        <v>188</v>
      </c>
      <c r="K27" s="8" t="s">
        <v>130</v>
      </c>
      <c r="L27" s="8" t="s">
        <v>85</v>
      </c>
      <c r="M27" s="8" t="s">
        <v>131</v>
      </c>
      <c r="N27" s="8" t="s">
        <v>189</v>
      </c>
      <c r="O27" s="8" t="s">
        <v>54</v>
      </c>
      <c r="P27" s="8" t="s">
        <v>55</v>
      </c>
      <c r="Q27" s="8" t="s">
        <v>56</v>
      </c>
      <c r="R27" s="8" t="s">
        <v>72</v>
      </c>
      <c r="S27" s="8" t="s">
        <v>1102</v>
      </c>
      <c r="T27" s="8" t="s">
        <v>1102</v>
      </c>
      <c r="U27" s="8" t="s">
        <v>1102</v>
      </c>
      <c r="V27" s="8" t="s">
        <v>1081</v>
      </c>
    </row>
    <row r="28" spans="1:22" x14ac:dyDescent="0.2">
      <c r="A28" s="8" t="s">
        <v>192</v>
      </c>
      <c r="B28" s="8" t="s">
        <v>47</v>
      </c>
      <c r="C28" s="8" t="s">
        <v>193</v>
      </c>
      <c r="D28" s="8" t="s">
        <v>49</v>
      </c>
      <c r="E28" s="8" t="s">
        <v>1121</v>
      </c>
      <c r="F28" s="8" t="s">
        <v>194</v>
      </c>
      <c r="G28" s="8" t="s">
        <v>1</v>
      </c>
      <c r="H28" s="8"/>
      <c r="I28" s="8"/>
      <c r="J28" s="8" t="s">
        <v>51</v>
      </c>
      <c r="K28" s="8" t="s">
        <v>195</v>
      </c>
      <c r="L28" s="8" t="s">
        <v>53</v>
      </c>
      <c r="M28" s="8" t="s">
        <v>196</v>
      </c>
      <c r="N28" s="8" t="s">
        <v>197</v>
      </c>
      <c r="O28" s="8" t="s">
        <v>54</v>
      </c>
      <c r="P28" s="8" t="s">
        <v>55</v>
      </c>
      <c r="Q28" s="8" t="s">
        <v>56</v>
      </c>
      <c r="R28" s="8" t="s">
        <v>47</v>
      </c>
      <c r="S28" s="8" t="s">
        <v>566</v>
      </c>
      <c r="T28" s="8" t="s">
        <v>566</v>
      </c>
      <c r="U28" s="8" t="s">
        <v>566</v>
      </c>
      <c r="V28" s="8"/>
    </row>
    <row r="29" spans="1:22" x14ac:dyDescent="0.2">
      <c r="A29" s="8" t="s">
        <v>198</v>
      </c>
      <c r="B29" s="8" t="s">
        <v>47</v>
      </c>
      <c r="C29" s="8" t="s">
        <v>199</v>
      </c>
      <c r="D29" s="8" t="s">
        <v>49</v>
      </c>
      <c r="E29" s="8" t="s">
        <v>1085</v>
      </c>
      <c r="F29" s="8" t="s">
        <v>194</v>
      </c>
      <c r="G29" s="8" t="s">
        <v>73</v>
      </c>
      <c r="H29" s="8"/>
      <c r="I29" s="8"/>
      <c r="J29" s="8" t="s">
        <v>51</v>
      </c>
      <c r="K29" s="8" t="s">
        <v>195</v>
      </c>
      <c r="L29" s="8" t="s">
        <v>53</v>
      </c>
      <c r="M29" s="8" t="s">
        <v>196</v>
      </c>
      <c r="N29" s="8" t="s">
        <v>197</v>
      </c>
      <c r="O29" s="8" t="s">
        <v>54</v>
      </c>
      <c r="P29" s="8" t="s">
        <v>55</v>
      </c>
      <c r="Q29" s="8" t="s">
        <v>56</v>
      </c>
      <c r="R29" s="8" t="s">
        <v>72</v>
      </c>
      <c r="S29" s="8" t="s">
        <v>566</v>
      </c>
      <c r="T29" s="8" t="s">
        <v>566</v>
      </c>
      <c r="U29" s="8" t="s">
        <v>566</v>
      </c>
      <c r="V29" s="8" t="s">
        <v>1081</v>
      </c>
    </row>
    <row r="30" spans="1:22" x14ac:dyDescent="0.2">
      <c r="A30" s="8" t="s">
        <v>200</v>
      </c>
      <c r="B30" s="8" t="s">
        <v>47</v>
      </c>
      <c r="C30" s="8" t="s">
        <v>201</v>
      </c>
      <c r="D30" s="8" t="s">
        <v>49</v>
      </c>
      <c r="E30" s="8" t="s">
        <v>1087</v>
      </c>
      <c r="F30" s="8" t="s">
        <v>194</v>
      </c>
      <c r="G30" s="8" t="s">
        <v>73</v>
      </c>
      <c r="H30" s="8"/>
      <c r="I30" s="8"/>
      <c r="J30" s="8" t="s">
        <v>51</v>
      </c>
      <c r="K30" s="8" t="s">
        <v>195</v>
      </c>
      <c r="L30" s="8" t="s">
        <v>53</v>
      </c>
      <c r="M30" s="8" t="s">
        <v>196</v>
      </c>
      <c r="N30" s="8" t="s">
        <v>197</v>
      </c>
      <c r="O30" s="8" t="s">
        <v>54</v>
      </c>
      <c r="P30" s="8" t="s">
        <v>55</v>
      </c>
      <c r="Q30" s="8" t="s">
        <v>56</v>
      </c>
      <c r="R30" s="8" t="s">
        <v>72</v>
      </c>
      <c r="S30" s="8" t="s">
        <v>566</v>
      </c>
      <c r="T30" s="8" t="s">
        <v>566</v>
      </c>
      <c r="U30" s="8" t="s">
        <v>566</v>
      </c>
      <c r="V30" s="8" t="s">
        <v>1081</v>
      </c>
    </row>
    <row r="31" spans="1:22" x14ac:dyDescent="0.2">
      <c r="A31" s="8" t="s">
        <v>202</v>
      </c>
      <c r="B31" s="8" t="s">
        <v>47</v>
      </c>
      <c r="C31" s="8" t="s">
        <v>203</v>
      </c>
      <c r="D31" s="8" t="s">
        <v>49</v>
      </c>
      <c r="E31" s="8" t="s">
        <v>1090</v>
      </c>
      <c r="F31" s="8" t="s">
        <v>194</v>
      </c>
      <c r="G31" s="8" t="s">
        <v>73</v>
      </c>
      <c r="H31" s="8"/>
      <c r="I31" s="8"/>
      <c r="J31" s="8" t="s">
        <v>51</v>
      </c>
      <c r="K31" s="8" t="s">
        <v>195</v>
      </c>
      <c r="L31" s="8" t="s">
        <v>53</v>
      </c>
      <c r="M31" s="8" t="s">
        <v>196</v>
      </c>
      <c r="N31" s="8" t="s">
        <v>197</v>
      </c>
      <c r="O31" s="8" t="s">
        <v>54</v>
      </c>
      <c r="P31" s="8" t="s">
        <v>55</v>
      </c>
      <c r="Q31" s="8" t="s">
        <v>56</v>
      </c>
      <c r="R31" s="8" t="s">
        <v>72</v>
      </c>
      <c r="S31" s="8" t="s">
        <v>566</v>
      </c>
      <c r="T31" s="8" t="s">
        <v>566</v>
      </c>
      <c r="U31" s="8" t="s">
        <v>566</v>
      </c>
      <c r="V31" s="8" t="s">
        <v>1081</v>
      </c>
    </row>
    <row r="32" spans="1:22" x14ac:dyDescent="0.2">
      <c r="A32" s="8" t="s">
        <v>204</v>
      </c>
      <c r="B32" s="8" t="s">
        <v>47</v>
      </c>
      <c r="C32" s="8" t="s">
        <v>205</v>
      </c>
      <c r="D32" s="8" t="s">
        <v>49</v>
      </c>
      <c r="E32" s="8" t="s">
        <v>1092</v>
      </c>
      <c r="F32" s="8" t="s">
        <v>194</v>
      </c>
      <c r="G32" s="8" t="s">
        <v>73</v>
      </c>
      <c r="H32" s="8"/>
      <c r="I32" s="8"/>
      <c r="J32" s="8" t="s">
        <v>51</v>
      </c>
      <c r="K32" s="8" t="s">
        <v>195</v>
      </c>
      <c r="L32" s="8" t="s">
        <v>53</v>
      </c>
      <c r="M32" s="8" t="s">
        <v>196</v>
      </c>
      <c r="N32" s="8" t="s">
        <v>197</v>
      </c>
      <c r="O32" s="8" t="s">
        <v>54</v>
      </c>
      <c r="P32" s="8" t="s">
        <v>55</v>
      </c>
      <c r="Q32" s="8" t="s">
        <v>56</v>
      </c>
      <c r="R32" s="8" t="s">
        <v>72</v>
      </c>
      <c r="S32" s="8" t="s">
        <v>566</v>
      </c>
      <c r="T32" s="8" t="s">
        <v>566</v>
      </c>
      <c r="U32" s="8" t="s">
        <v>566</v>
      </c>
      <c r="V32" s="8" t="s">
        <v>1081</v>
      </c>
    </row>
    <row r="33" spans="1:22" x14ac:dyDescent="0.2">
      <c r="A33" s="8" t="s">
        <v>206</v>
      </c>
      <c r="B33" s="8" t="s">
        <v>47</v>
      </c>
      <c r="C33" s="8" t="s">
        <v>207</v>
      </c>
      <c r="D33" s="8" t="s">
        <v>49</v>
      </c>
      <c r="E33" s="8" t="s">
        <v>1122</v>
      </c>
      <c r="F33" s="8" t="s">
        <v>194</v>
      </c>
      <c r="G33" s="8" t="s">
        <v>73</v>
      </c>
      <c r="H33" s="8"/>
      <c r="I33" s="8"/>
      <c r="J33" s="8" t="s">
        <v>51</v>
      </c>
      <c r="K33" s="8" t="s">
        <v>195</v>
      </c>
      <c r="L33" s="8" t="s">
        <v>53</v>
      </c>
      <c r="M33" s="8" t="s">
        <v>196</v>
      </c>
      <c r="N33" s="8" t="s">
        <v>197</v>
      </c>
      <c r="O33" s="8" t="s">
        <v>54</v>
      </c>
      <c r="P33" s="8" t="s">
        <v>55</v>
      </c>
      <c r="Q33" s="8" t="s">
        <v>56</v>
      </c>
      <c r="R33" s="8" t="s">
        <v>72</v>
      </c>
      <c r="S33" s="8" t="s">
        <v>566</v>
      </c>
      <c r="T33" s="8" t="s">
        <v>566</v>
      </c>
      <c r="U33" s="8" t="s">
        <v>566</v>
      </c>
      <c r="V33" s="8" t="s">
        <v>1081</v>
      </c>
    </row>
    <row r="34" spans="1:22" x14ac:dyDescent="0.2">
      <c r="A34" s="8" t="s">
        <v>208</v>
      </c>
      <c r="B34" s="8" t="s">
        <v>47</v>
      </c>
      <c r="C34" s="8" t="s">
        <v>209</v>
      </c>
      <c r="D34" s="8" t="s">
        <v>49</v>
      </c>
      <c r="E34" s="8" t="s">
        <v>1123</v>
      </c>
      <c r="F34" s="8" t="s">
        <v>194</v>
      </c>
      <c r="G34" s="8" t="s">
        <v>73</v>
      </c>
      <c r="H34" s="8"/>
      <c r="I34" s="8"/>
      <c r="J34" s="8" t="s">
        <v>51</v>
      </c>
      <c r="K34" s="8" t="s">
        <v>195</v>
      </c>
      <c r="L34" s="8" t="s">
        <v>53</v>
      </c>
      <c r="M34" s="8" t="s">
        <v>196</v>
      </c>
      <c r="N34" s="8" t="s">
        <v>197</v>
      </c>
      <c r="O34" s="8" t="s">
        <v>54</v>
      </c>
      <c r="P34" s="8" t="s">
        <v>55</v>
      </c>
      <c r="Q34" s="8" t="s">
        <v>56</v>
      </c>
      <c r="R34" s="8" t="s">
        <v>72</v>
      </c>
      <c r="S34" s="8" t="s">
        <v>566</v>
      </c>
      <c r="T34" s="8" t="s">
        <v>566</v>
      </c>
      <c r="U34" s="8" t="s">
        <v>566</v>
      </c>
      <c r="V34" s="8" t="s">
        <v>1081</v>
      </c>
    </row>
    <row r="35" spans="1:22" x14ac:dyDescent="0.2">
      <c r="A35" s="8" t="s">
        <v>210</v>
      </c>
      <c r="B35" s="8" t="s">
        <v>47</v>
      </c>
      <c r="C35" s="8" t="s">
        <v>211</v>
      </c>
      <c r="D35" s="8" t="s">
        <v>49</v>
      </c>
      <c r="E35" s="8" t="s">
        <v>1124</v>
      </c>
      <c r="F35" s="8" t="s">
        <v>212</v>
      </c>
      <c r="G35" s="8" t="s">
        <v>1</v>
      </c>
      <c r="H35" s="8"/>
      <c r="I35" s="8"/>
      <c r="J35" s="8" t="s">
        <v>51</v>
      </c>
      <c r="K35" s="8" t="s">
        <v>51</v>
      </c>
      <c r="L35" s="8" t="s">
        <v>53</v>
      </c>
      <c r="M35" s="8" t="s">
        <v>53</v>
      </c>
      <c r="N35" s="8" t="s">
        <v>54</v>
      </c>
      <c r="O35" s="8" t="s">
        <v>54</v>
      </c>
      <c r="P35" s="8" t="s">
        <v>55</v>
      </c>
      <c r="Q35" s="8" t="s">
        <v>56</v>
      </c>
      <c r="R35" s="8" t="s">
        <v>72</v>
      </c>
      <c r="S35" s="8" t="s">
        <v>50</v>
      </c>
      <c r="T35" s="8" t="s">
        <v>50</v>
      </c>
      <c r="U35" s="8" t="s">
        <v>50</v>
      </c>
      <c r="V35" s="8" t="s">
        <v>1081</v>
      </c>
    </row>
    <row r="36" spans="1:22" x14ac:dyDescent="0.2">
      <c r="A36" s="8" t="s">
        <v>213</v>
      </c>
      <c r="B36" s="8" t="s">
        <v>47</v>
      </c>
      <c r="C36" s="8" t="s">
        <v>214</v>
      </c>
      <c r="D36" s="8" t="s">
        <v>49</v>
      </c>
      <c r="E36" s="8" t="s">
        <v>1125</v>
      </c>
      <c r="F36" s="8" t="s">
        <v>216</v>
      </c>
      <c r="G36" s="8" t="s">
        <v>57</v>
      </c>
      <c r="H36" s="8"/>
      <c r="I36" s="8"/>
      <c r="J36" s="8" t="s">
        <v>51</v>
      </c>
      <c r="K36" s="8" t="s">
        <v>217</v>
      </c>
      <c r="L36" s="8" t="s">
        <v>53</v>
      </c>
      <c r="M36" s="8" t="s">
        <v>218</v>
      </c>
      <c r="N36" s="8" t="s">
        <v>53</v>
      </c>
      <c r="O36" s="8" t="s">
        <v>54</v>
      </c>
      <c r="P36" s="8" t="s">
        <v>55</v>
      </c>
      <c r="Q36" s="8" t="s">
        <v>56</v>
      </c>
      <c r="R36" s="8" t="s">
        <v>47</v>
      </c>
      <c r="S36" s="8" t="s">
        <v>212</v>
      </c>
      <c r="T36" s="8" t="s">
        <v>1126</v>
      </c>
      <c r="U36" s="8" t="s">
        <v>212</v>
      </c>
      <c r="V36" s="8"/>
    </row>
    <row r="37" spans="1:22" x14ac:dyDescent="0.2">
      <c r="A37" s="8" t="s">
        <v>219</v>
      </c>
      <c r="B37" s="8" t="s">
        <v>47</v>
      </c>
      <c r="C37" s="8" t="s">
        <v>220</v>
      </c>
      <c r="D37" s="8" t="s">
        <v>49</v>
      </c>
      <c r="E37" s="8" t="s">
        <v>1127</v>
      </c>
      <c r="F37" s="8" t="s">
        <v>194</v>
      </c>
      <c r="G37" s="8" t="s">
        <v>1</v>
      </c>
      <c r="H37" s="8"/>
      <c r="I37" s="8" t="s">
        <v>1128</v>
      </c>
      <c r="J37" s="8" t="s">
        <v>51</v>
      </c>
      <c r="K37" s="8" t="s">
        <v>195</v>
      </c>
      <c r="L37" s="8" t="s">
        <v>53</v>
      </c>
      <c r="M37" s="8" t="s">
        <v>196</v>
      </c>
      <c r="N37" s="8" t="s">
        <v>53</v>
      </c>
      <c r="O37" s="8" t="s">
        <v>196</v>
      </c>
      <c r="P37" s="8" t="s">
        <v>55</v>
      </c>
      <c r="Q37" s="8" t="s">
        <v>56</v>
      </c>
      <c r="R37" s="8" t="s">
        <v>72</v>
      </c>
      <c r="S37" s="8" t="s">
        <v>212</v>
      </c>
      <c r="T37" s="8" t="s">
        <v>212</v>
      </c>
      <c r="U37" s="8" t="s">
        <v>212</v>
      </c>
      <c r="V37" s="8" t="s">
        <v>1129</v>
      </c>
    </row>
    <row r="38" spans="1:22" x14ac:dyDescent="0.2">
      <c r="A38" s="8" t="s">
        <v>222</v>
      </c>
      <c r="B38" s="8" t="s">
        <v>47</v>
      </c>
      <c r="C38" s="8" t="s">
        <v>223</v>
      </c>
      <c r="D38" s="8" t="s">
        <v>49</v>
      </c>
      <c r="E38" s="8" t="s">
        <v>1130</v>
      </c>
      <c r="F38" s="8" t="s">
        <v>225</v>
      </c>
      <c r="G38" s="8" t="s">
        <v>1</v>
      </c>
      <c r="H38" s="8"/>
      <c r="I38" s="8"/>
      <c r="J38" s="8" t="s">
        <v>226</v>
      </c>
      <c r="K38" s="8" t="s">
        <v>217</v>
      </c>
      <c r="L38" s="8" t="s">
        <v>227</v>
      </c>
      <c r="M38" s="8" t="s">
        <v>218</v>
      </c>
      <c r="N38" s="8" t="s">
        <v>228</v>
      </c>
      <c r="O38" s="8" t="s">
        <v>54</v>
      </c>
      <c r="P38" s="8" t="s">
        <v>55</v>
      </c>
      <c r="Q38" s="8" t="s">
        <v>56</v>
      </c>
      <c r="R38" s="8" t="s">
        <v>47</v>
      </c>
      <c r="S38" s="8" t="s">
        <v>1131</v>
      </c>
      <c r="T38" s="8" t="s">
        <v>1126</v>
      </c>
      <c r="U38" s="8" t="s">
        <v>1126</v>
      </c>
      <c r="V38" s="8"/>
    </row>
    <row r="39" spans="1:22" x14ac:dyDescent="0.2">
      <c r="A39" s="8" t="s">
        <v>229</v>
      </c>
      <c r="B39" s="8" t="s">
        <v>47</v>
      </c>
      <c r="C39" s="8" t="s">
        <v>230</v>
      </c>
      <c r="D39" s="8" t="s">
        <v>49</v>
      </c>
      <c r="E39" s="8" t="s">
        <v>1132</v>
      </c>
      <c r="F39" s="8" t="s">
        <v>194</v>
      </c>
      <c r="G39" s="8" t="s">
        <v>73</v>
      </c>
      <c r="H39" s="8" t="s">
        <v>232</v>
      </c>
      <c r="I39" s="8"/>
      <c r="J39" s="8" t="s">
        <v>233</v>
      </c>
      <c r="K39" s="8" t="s">
        <v>234</v>
      </c>
      <c r="L39" s="8" t="s">
        <v>235</v>
      </c>
      <c r="M39" s="8" t="s">
        <v>236</v>
      </c>
      <c r="N39" s="8" t="s">
        <v>197</v>
      </c>
      <c r="O39" s="8" t="s">
        <v>54</v>
      </c>
      <c r="P39" s="8" t="s">
        <v>55</v>
      </c>
      <c r="Q39" s="8" t="s">
        <v>56</v>
      </c>
      <c r="R39" s="8" t="s">
        <v>72</v>
      </c>
      <c r="S39" s="8" t="s">
        <v>1133</v>
      </c>
      <c r="T39" s="8" t="s">
        <v>1133</v>
      </c>
      <c r="U39" s="8" t="s">
        <v>1133</v>
      </c>
      <c r="V39" s="8" t="s">
        <v>1134</v>
      </c>
    </row>
    <row r="40" spans="1:22" x14ac:dyDescent="0.2">
      <c r="A40" s="8" t="s">
        <v>237</v>
      </c>
      <c r="B40" s="8" t="s">
        <v>47</v>
      </c>
      <c r="C40" s="8" t="s">
        <v>238</v>
      </c>
      <c r="D40" s="8" t="s">
        <v>49</v>
      </c>
      <c r="E40" s="8" t="s">
        <v>1135</v>
      </c>
      <c r="F40" s="8" t="s">
        <v>240</v>
      </c>
      <c r="G40" s="8" t="s">
        <v>73</v>
      </c>
      <c r="H40" s="8" t="s">
        <v>1136</v>
      </c>
      <c r="I40" s="8" t="s">
        <v>241</v>
      </c>
      <c r="J40" s="8" t="s">
        <v>226</v>
      </c>
      <c r="K40" s="8" t="s">
        <v>242</v>
      </c>
      <c r="L40" s="8" t="s">
        <v>227</v>
      </c>
      <c r="M40" s="8" t="s">
        <v>243</v>
      </c>
      <c r="N40" s="8" t="s">
        <v>244</v>
      </c>
      <c r="O40" s="8" t="s">
        <v>245</v>
      </c>
      <c r="P40" s="8" t="s">
        <v>55</v>
      </c>
      <c r="Q40" s="8" t="s">
        <v>56</v>
      </c>
      <c r="R40" s="8" t="s">
        <v>72</v>
      </c>
      <c r="S40" s="8" t="s">
        <v>1133</v>
      </c>
      <c r="T40" s="8" t="s">
        <v>1133</v>
      </c>
      <c r="U40" s="8" t="s">
        <v>212</v>
      </c>
      <c r="V40" s="8" t="s">
        <v>1129</v>
      </c>
    </row>
    <row r="41" spans="1:22" x14ac:dyDescent="0.2">
      <c r="A41" s="8" t="s">
        <v>246</v>
      </c>
      <c r="B41" s="8" t="s">
        <v>47</v>
      </c>
      <c r="C41" s="8" t="s">
        <v>247</v>
      </c>
      <c r="D41" s="8" t="s">
        <v>49</v>
      </c>
      <c r="E41" s="8" t="s">
        <v>1137</v>
      </c>
      <c r="F41" s="8" t="s">
        <v>194</v>
      </c>
      <c r="G41" s="8" t="s">
        <v>73</v>
      </c>
      <c r="H41" s="8" t="s">
        <v>1136</v>
      </c>
      <c r="I41" s="8" t="s">
        <v>249</v>
      </c>
      <c r="J41" s="8" t="s">
        <v>226</v>
      </c>
      <c r="K41" s="8" t="s">
        <v>181</v>
      </c>
      <c r="L41" s="8" t="s">
        <v>227</v>
      </c>
      <c r="M41" s="8" t="s">
        <v>183</v>
      </c>
      <c r="N41" s="8" t="s">
        <v>244</v>
      </c>
      <c r="O41" s="8" t="s">
        <v>250</v>
      </c>
      <c r="P41" s="8" t="s">
        <v>55</v>
      </c>
      <c r="Q41" s="8" t="s">
        <v>56</v>
      </c>
      <c r="R41" s="8" t="s">
        <v>72</v>
      </c>
      <c r="S41" s="8" t="s">
        <v>1133</v>
      </c>
      <c r="T41" s="8" t="s">
        <v>1133</v>
      </c>
      <c r="U41" s="8" t="s">
        <v>212</v>
      </c>
      <c r="V41" s="8" t="s">
        <v>1129</v>
      </c>
    </row>
    <row r="42" spans="1:22" x14ac:dyDescent="0.2">
      <c r="A42" s="8" t="s">
        <v>251</v>
      </c>
      <c r="B42" s="8" t="s">
        <v>47</v>
      </c>
      <c r="C42" s="8" t="s">
        <v>252</v>
      </c>
      <c r="D42" s="8" t="s">
        <v>49</v>
      </c>
      <c r="E42" s="8" t="s">
        <v>1138</v>
      </c>
      <c r="F42" s="8" t="s">
        <v>194</v>
      </c>
      <c r="G42" s="8" t="s">
        <v>73</v>
      </c>
      <c r="H42" s="8" t="s">
        <v>246</v>
      </c>
      <c r="I42" s="8" t="s">
        <v>241</v>
      </c>
      <c r="J42" s="8" t="s">
        <v>254</v>
      </c>
      <c r="K42" s="8" t="s">
        <v>242</v>
      </c>
      <c r="L42" s="8" t="s">
        <v>131</v>
      </c>
      <c r="M42" s="8" t="s">
        <v>243</v>
      </c>
      <c r="N42" s="8" t="s">
        <v>255</v>
      </c>
      <c r="O42" s="8" t="s">
        <v>245</v>
      </c>
      <c r="P42" s="8" t="s">
        <v>55</v>
      </c>
      <c r="Q42" s="8" t="s">
        <v>56</v>
      </c>
      <c r="R42" s="8" t="s">
        <v>72</v>
      </c>
      <c r="S42" s="8" t="s">
        <v>1133</v>
      </c>
      <c r="T42" s="8" t="s">
        <v>1133</v>
      </c>
      <c r="U42" s="8" t="s">
        <v>212</v>
      </c>
      <c r="V42" s="8" t="s">
        <v>1134</v>
      </c>
    </row>
    <row r="43" spans="1:22" x14ac:dyDescent="0.2">
      <c r="A43" s="8" t="s">
        <v>256</v>
      </c>
      <c r="B43" s="8" t="s">
        <v>47</v>
      </c>
      <c r="C43" s="8" t="s">
        <v>257</v>
      </c>
      <c r="D43" s="8" t="s">
        <v>49</v>
      </c>
      <c r="E43" s="8" t="s">
        <v>1139</v>
      </c>
      <c r="F43" s="8" t="s">
        <v>194</v>
      </c>
      <c r="G43" s="8" t="s">
        <v>73</v>
      </c>
      <c r="H43" s="8" t="s">
        <v>246</v>
      </c>
      <c r="I43" s="8" t="s">
        <v>241</v>
      </c>
      <c r="J43" s="8" t="s">
        <v>254</v>
      </c>
      <c r="K43" s="8" t="s">
        <v>242</v>
      </c>
      <c r="L43" s="8" t="s">
        <v>131</v>
      </c>
      <c r="M43" s="8" t="s">
        <v>243</v>
      </c>
      <c r="N43" s="8" t="s">
        <v>255</v>
      </c>
      <c r="O43" s="8" t="s">
        <v>245</v>
      </c>
      <c r="P43" s="8" t="s">
        <v>55</v>
      </c>
      <c r="Q43" s="8" t="s">
        <v>56</v>
      </c>
      <c r="R43" s="8" t="s">
        <v>72</v>
      </c>
      <c r="S43" s="8" t="s">
        <v>1133</v>
      </c>
      <c r="T43" s="8" t="s">
        <v>1133</v>
      </c>
      <c r="U43" s="8" t="s">
        <v>212</v>
      </c>
      <c r="V43" s="8" t="s">
        <v>1129</v>
      </c>
    </row>
    <row r="44" spans="1:22" x14ac:dyDescent="0.2">
      <c r="A44" s="8" t="s">
        <v>259</v>
      </c>
      <c r="B44" s="8" t="s">
        <v>47</v>
      </c>
      <c r="C44" s="8" t="s">
        <v>260</v>
      </c>
      <c r="D44" s="8" t="s">
        <v>49</v>
      </c>
      <c r="E44" s="8" t="s">
        <v>1140</v>
      </c>
      <c r="F44" s="8" t="s">
        <v>194</v>
      </c>
      <c r="G44" s="8" t="s">
        <v>73</v>
      </c>
      <c r="H44" s="8" t="s">
        <v>232</v>
      </c>
      <c r="I44" s="8"/>
      <c r="J44" s="8" t="s">
        <v>233</v>
      </c>
      <c r="K44" s="8" t="s">
        <v>234</v>
      </c>
      <c r="L44" s="8" t="s">
        <v>235</v>
      </c>
      <c r="M44" s="8" t="s">
        <v>236</v>
      </c>
      <c r="N44" s="8" t="s">
        <v>197</v>
      </c>
      <c r="O44" s="8" t="s">
        <v>54</v>
      </c>
      <c r="P44" s="8" t="s">
        <v>55</v>
      </c>
      <c r="Q44" s="8" t="s">
        <v>56</v>
      </c>
      <c r="R44" s="8" t="s">
        <v>72</v>
      </c>
      <c r="S44" s="8" t="s">
        <v>1133</v>
      </c>
      <c r="T44" s="8" t="s">
        <v>1133</v>
      </c>
      <c r="U44" s="8" t="s">
        <v>1133</v>
      </c>
      <c r="V44" s="8" t="s">
        <v>1129</v>
      </c>
    </row>
    <row r="45" spans="1:22" x14ac:dyDescent="0.2">
      <c r="A45" s="8" t="s">
        <v>262</v>
      </c>
      <c r="B45" s="8" t="s">
        <v>47</v>
      </c>
      <c r="C45" s="8" t="s">
        <v>263</v>
      </c>
      <c r="D45" s="8" t="s">
        <v>49</v>
      </c>
      <c r="E45" s="8" t="s">
        <v>1141</v>
      </c>
      <c r="F45" s="8" t="s">
        <v>265</v>
      </c>
      <c r="G45" s="8" t="s">
        <v>73</v>
      </c>
      <c r="H45" s="8"/>
      <c r="I45" s="8"/>
      <c r="J45" s="8" t="s">
        <v>266</v>
      </c>
      <c r="K45" s="8" t="s">
        <v>217</v>
      </c>
      <c r="L45" s="8" t="s">
        <v>267</v>
      </c>
      <c r="M45" s="8" t="s">
        <v>218</v>
      </c>
      <c r="N45" s="8" t="s">
        <v>228</v>
      </c>
      <c r="O45" s="8" t="s">
        <v>54</v>
      </c>
      <c r="P45" s="8" t="s">
        <v>55</v>
      </c>
      <c r="Q45" s="8" t="s">
        <v>56</v>
      </c>
      <c r="R45" s="8" t="s">
        <v>47</v>
      </c>
      <c r="S45" s="8" t="s">
        <v>1126</v>
      </c>
      <c r="T45" s="8" t="s">
        <v>1126</v>
      </c>
      <c r="U45" s="8" t="s">
        <v>1126</v>
      </c>
      <c r="V45" s="8"/>
    </row>
    <row r="46" spans="1:22" x14ac:dyDescent="0.2">
      <c r="A46" s="8" t="s">
        <v>268</v>
      </c>
      <c r="B46" s="8" t="s">
        <v>47</v>
      </c>
      <c r="C46" s="8" t="s">
        <v>269</v>
      </c>
      <c r="D46" s="8" t="s">
        <v>49</v>
      </c>
      <c r="E46" s="8" t="s">
        <v>1142</v>
      </c>
      <c r="F46" s="8" t="s">
        <v>83</v>
      </c>
      <c r="G46" s="8" t="s">
        <v>80</v>
      </c>
      <c r="H46" s="8" t="s">
        <v>1143</v>
      </c>
      <c r="I46" s="8" t="s">
        <v>1144</v>
      </c>
      <c r="J46" s="8" t="s">
        <v>270</v>
      </c>
      <c r="K46" s="8" t="s">
        <v>271</v>
      </c>
      <c r="L46" s="8" t="s">
        <v>272</v>
      </c>
      <c r="M46" s="8" t="s">
        <v>273</v>
      </c>
      <c r="N46" s="8" t="s">
        <v>274</v>
      </c>
      <c r="O46" s="8" t="s">
        <v>275</v>
      </c>
      <c r="P46" s="8" t="s">
        <v>55</v>
      </c>
      <c r="Q46" s="8" t="s">
        <v>56</v>
      </c>
      <c r="R46" s="8" t="s">
        <v>72</v>
      </c>
      <c r="S46" s="8" t="s">
        <v>1126</v>
      </c>
      <c r="T46" s="8" t="s">
        <v>1126</v>
      </c>
      <c r="U46" s="8" t="s">
        <v>212</v>
      </c>
      <c r="V46" s="8" t="s">
        <v>1145</v>
      </c>
    </row>
    <row r="47" spans="1:22" x14ac:dyDescent="0.2">
      <c r="A47" s="8" t="s">
        <v>276</v>
      </c>
      <c r="B47" s="8" t="s">
        <v>47</v>
      </c>
      <c r="C47" s="8" t="s">
        <v>277</v>
      </c>
      <c r="D47" s="8" t="s">
        <v>49</v>
      </c>
      <c r="E47" s="8" t="s">
        <v>1146</v>
      </c>
      <c r="F47" s="8" t="s">
        <v>83</v>
      </c>
      <c r="G47" s="8" t="s">
        <v>80</v>
      </c>
      <c r="H47" s="8" t="s">
        <v>278</v>
      </c>
      <c r="I47" s="8" t="s">
        <v>1147</v>
      </c>
      <c r="J47" s="8" t="s">
        <v>266</v>
      </c>
      <c r="K47" s="8" t="s">
        <v>279</v>
      </c>
      <c r="L47" s="8" t="s">
        <v>267</v>
      </c>
      <c r="M47" s="8" t="s">
        <v>280</v>
      </c>
      <c r="N47" s="8" t="s">
        <v>228</v>
      </c>
      <c r="O47" s="8" t="s">
        <v>281</v>
      </c>
      <c r="P47" s="8" t="s">
        <v>55</v>
      </c>
      <c r="Q47" s="8" t="s">
        <v>56</v>
      </c>
      <c r="R47" s="8" t="s">
        <v>72</v>
      </c>
      <c r="S47" s="8" t="s">
        <v>1126</v>
      </c>
      <c r="T47" s="8" t="s">
        <v>1126</v>
      </c>
      <c r="U47" s="8" t="s">
        <v>212</v>
      </c>
      <c r="V47" s="8" t="s">
        <v>1145</v>
      </c>
    </row>
    <row r="48" spans="1:22" x14ac:dyDescent="0.2">
      <c r="A48" s="8" t="s">
        <v>282</v>
      </c>
      <c r="B48" s="8" t="s">
        <v>47</v>
      </c>
      <c r="C48" s="8" t="s">
        <v>283</v>
      </c>
      <c r="D48" s="8" t="s">
        <v>49</v>
      </c>
      <c r="E48" s="8" t="s">
        <v>1148</v>
      </c>
      <c r="F48" s="8" t="s">
        <v>83</v>
      </c>
      <c r="G48" s="8" t="s">
        <v>80</v>
      </c>
      <c r="H48" s="8" t="s">
        <v>1147</v>
      </c>
      <c r="I48" s="8"/>
      <c r="J48" s="8" t="s">
        <v>284</v>
      </c>
      <c r="K48" s="8" t="s">
        <v>217</v>
      </c>
      <c r="L48" s="8" t="s">
        <v>285</v>
      </c>
      <c r="M48" s="8" t="s">
        <v>218</v>
      </c>
      <c r="N48" s="8" t="s">
        <v>114</v>
      </c>
      <c r="O48" s="8" t="s">
        <v>54</v>
      </c>
      <c r="P48" s="8" t="s">
        <v>55</v>
      </c>
      <c r="Q48" s="8" t="s">
        <v>56</v>
      </c>
      <c r="R48" s="8" t="s">
        <v>72</v>
      </c>
      <c r="S48" s="8" t="s">
        <v>1126</v>
      </c>
      <c r="T48" s="8" t="s">
        <v>1126</v>
      </c>
      <c r="U48" s="8" t="s">
        <v>1126</v>
      </c>
      <c r="V48" s="8" t="s">
        <v>1145</v>
      </c>
    </row>
    <row r="49" spans="1:22" x14ac:dyDescent="0.2">
      <c r="A49" s="8" t="s">
        <v>286</v>
      </c>
      <c r="B49" s="8" t="s">
        <v>47</v>
      </c>
      <c r="C49" s="8" t="s">
        <v>287</v>
      </c>
      <c r="D49" s="8" t="s">
        <v>49</v>
      </c>
      <c r="E49" s="8" t="s">
        <v>1149</v>
      </c>
      <c r="F49" s="8" t="s">
        <v>289</v>
      </c>
      <c r="G49" s="8" t="s">
        <v>1</v>
      </c>
      <c r="H49" s="8"/>
      <c r="I49" s="8"/>
      <c r="J49" s="8" t="s">
        <v>290</v>
      </c>
      <c r="K49" s="8" t="s">
        <v>291</v>
      </c>
      <c r="L49" s="8" t="s">
        <v>292</v>
      </c>
      <c r="M49" s="8" t="s">
        <v>293</v>
      </c>
      <c r="N49" s="8" t="s">
        <v>294</v>
      </c>
      <c r="O49" s="8" t="s">
        <v>54</v>
      </c>
      <c r="P49" s="8" t="s">
        <v>55</v>
      </c>
      <c r="Q49" s="8" t="s">
        <v>56</v>
      </c>
      <c r="R49" s="8" t="s">
        <v>47</v>
      </c>
      <c r="S49" s="8" t="s">
        <v>1126</v>
      </c>
      <c r="T49" s="8" t="s">
        <v>1150</v>
      </c>
      <c r="U49" s="8" t="s">
        <v>1126</v>
      </c>
      <c r="V49" s="8"/>
    </row>
    <row r="50" spans="1:22" x14ac:dyDescent="0.2">
      <c r="A50" s="8" t="s">
        <v>295</v>
      </c>
      <c r="B50" s="8" t="s">
        <v>47</v>
      </c>
      <c r="C50" s="8" t="s">
        <v>296</v>
      </c>
      <c r="D50" s="8" t="s">
        <v>49</v>
      </c>
      <c r="E50" s="8" t="s">
        <v>1151</v>
      </c>
      <c r="F50" s="8" t="s">
        <v>289</v>
      </c>
      <c r="G50" s="8" t="s">
        <v>73</v>
      </c>
      <c r="H50" s="8"/>
      <c r="I50" s="8"/>
      <c r="J50" s="8" t="s">
        <v>290</v>
      </c>
      <c r="K50" s="8" t="s">
        <v>291</v>
      </c>
      <c r="L50" s="8" t="s">
        <v>292</v>
      </c>
      <c r="M50" s="8" t="s">
        <v>293</v>
      </c>
      <c r="N50" s="8" t="s">
        <v>294</v>
      </c>
      <c r="O50" s="8" t="s">
        <v>54</v>
      </c>
      <c r="P50" s="8" t="s">
        <v>55</v>
      </c>
      <c r="Q50" s="8" t="s">
        <v>56</v>
      </c>
      <c r="R50" s="8" t="s">
        <v>47</v>
      </c>
      <c r="S50" s="8" t="s">
        <v>1126</v>
      </c>
      <c r="T50" s="8" t="s">
        <v>1150</v>
      </c>
      <c r="U50" s="8" t="s">
        <v>1126</v>
      </c>
      <c r="V50" s="8"/>
    </row>
    <row r="51" spans="1:22" x14ac:dyDescent="0.2">
      <c r="A51" s="8" t="s">
        <v>298</v>
      </c>
      <c r="B51" s="8" t="s">
        <v>47</v>
      </c>
      <c r="C51" s="8" t="s">
        <v>299</v>
      </c>
      <c r="D51" s="8" t="s">
        <v>49</v>
      </c>
      <c r="E51" s="8" t="s">
        <v>1142</v>
      </c>
      <c r="F51" s="8" t="s">
        <v>300</v>
      </c>
      <c r="G51" s="8" t="s">
        <v>80</v>
      </c>
      <c r="H51" s="8" t="s">
        <v>1152</v>
      </c>
      <c r="I51" s="8" t="s">
        <v>1153</v>
      </c>
      <c r="J51" s="8" t="s">
        <v>301</v>
      </c>
      <c r="K51" s="8" t="s">
        <v>302</v>
      </c>
      <c r="L51" s="8" t="s">
        <v>303</v>
      </c>
      <c r="M51" s="8" t="s">
        <v>304</v>
      </c>
      <c r="N51" s="8" t="s">
        <v>305</v>
      </c>
      <c r="O51" s="8" t="s">
        <v>306</v>
      </c>
      <c r="P51" s="8" t="s">
        <v>55</v>
      </c>
      <c r="Q51" s="8" t="s">
        <v>56</v>
      </c>
      <c r="R51" s="8" t="s">
        <v>72</v>
      </c>
      <c r="S51" s="8" t="s">
        <v>1150</v>
      </c>
      <c r="T51" s="8" t="s">
        <v>1150</v>
      </c>
      <c r="U51" s="8" t="s">
        <v>212</v>
      </c>
      <c r="V51" s="8" t="s">
        <v>1145</v>
      </c>
    </row>
    <row r="52" spans="1:22" x14ac:dyDescent="0.2">
      <c r="A52" s="8" t="s">
        <v>307</v>
      </c>
      <c r="B52" s="8" t="s">
        <v>47</v>
      </c>
      <c r="C52" s="8" t="s">
        <v>308</v>
      </c>
      <c r="D52" s="8" t="s">
        <v>49</v>
      </c>
      <c r="E52" s="8" t="s">
        <v>1146</v>
      </c>
      <c r="F52" s="8" t="s">
        <v>300</v>
      </c>
      <c r="G52" s="8" t="s">
        <v>80</v>
      </c>
      <c r="H52" s="8" t="s">
        <v>219</v>
      </c>
      <c r="I52" s="8" t="s">
        <v>1154</v>
      </c>
      <c r="J52" s="8" t="s">
        <v>290</v>
      </c>
      <c r="K52" s="8" t="s">
        <v>309</v>
      </c>
      <c r="L52" s="8" t="s">
        <v>292</v>
      </c>
      <c r="M52" s="8" t="s">
        <v>310</v>
      </c>
      <c r="N52" s="8" t="s">
        <v>294</v>
      </c>
      <c r="O52" s="8" t="s">
        <v>311</v>
      </c>
      <c r="P52" s="8" t="s">
        <v>55</v>
      </c>
      <c r="Q52" s="8" t="s">
        <v>56</v>
      </c>
      <c r="R52" s="8" t="s">
        <v>72</v>
      </c>
      <c r="S52" s="8" t="s">
        <v>1126</v>
      </c>
      <c r="T52" s="8" t="s">
        <v>1126</v>
      </c>
      <c r="U52" s="8" t="s">
        <v>212</v>
      </c>
      <c r="V52" s="8" t="s">
        <v>1145</v>
      </c>
    </row>
    <row r="53" spans="1:22" x14ac:dyDescent="0.2">
      <c r="A53" s="8" t="s">
        <v>312</v>
      </c>
      <c r="B53" s="8" t="s">
        <v>47</v>
      </c>
      <c r="C53" s="8" t="s">
        <v>313</v>
      </c>
      <c r="D53" s="8" t="s">
        <v>49</v>
      </c>
      <c r="E53" s="8" t="s">
        <v>1148</v>
      </c>
      <c r="F53" s="8" t="s">
        <v>300</v>
      </c>
      <c r="G53" s="8" t="s">
        <v>80</v>
      </c>
      <c r="H53" s="8" t="s">
        <v>1155</v>
      </c>
      <c r="I53" s="8"/>
      <c r="J53" s="8" t="s">
        <v>314</v>
      </c>
      <c r="K53" s="8" t="s">
        <v>291</v>
      </c>
      <c r="L53" s="8" t="s">
        <v>315</v>
      </c>
      <c r="M53" s="8" t="s">
        <v>293</v>
      </c>
      <c r="N53" s="8" t="s">
        <v>316</v>
      </c>
      <c r="O53" s="8" t="s">
        <v>54</v>
      </c>
      <c r="P53" s="8" t="s">
        <v>55</v>
      </c>
      <c r="Q53" s="8" t="s">
        <v>56</v>
      </c>
      <c r="R53" s="8" t="s">
        <v>72</v>
      </c>
      <c r="S53" s="8" t="s">
        <v>1150</v>
      </c>
      <c r="T53" s="8" t="s">
        <v>1150</v>
      </c>
      <c r="U53" s="8" t="s">
        <v>1150</v>
      </c>
      <c r="V53" s="8" t="s">
        <v>1145</v>
      </c>
    </row>
    <row r="54" spans="1:22" x14ac:dyDescent="0.2">
      <c r="A54" s="8" t="s">
        <v>317</v>
      </c>
      <c r="B54" s="8" t="s">
        <v>47</v>
      </c>
      <c r="C54" s="8" t="s">
        <v>318</v>
      </c>
      <c r="D54" s="8" t="s">
        <v>49</v>
      </c>
      <c r="E54" s="8" t="s">
        <v>1156</v>
      </c>
      <c r="F54" s="8" t="s">
        <v>289</v>
      </c>
      <c r="G54" s="8" t="s">
        <v>73</v>
      </c>
      <c r="H54" s="8"/>
      <c r="I54" s="8"/>
      <c r="J54" s="8" t="s">
        <v>290</v>
      </c>
      <c r="K54" s="8" t="s">
        <v>291</v>
      </c>
      <c r="L54" s="8" t="s">
        <v>292</v>
      </c>
      <c r="M54" s="8" t="s">
        <v>293</v>
      </c>
      <c r="N54" s="8" t="s">
        <v>294</v>
      </c>
      <c r="O54" s="8" t="s">
        <v>54</v>
      </c>
      <c r="P54" s="8" t="s">
        <v>55</v>
      </c>
      <c r="Q54" s="8" t="s">
        <v>56</v>
      </c>
      <c r="R54" s="8" t="s">
        <v>47</v>
      </c>
      <c r="S54" s="8" t="s">
        <v>1126</v>
      </c>
      <c r="T54" s="8" t="s">
        <v>1150</v>
      </c>
      <c r="U54" s="8" t="s">
        <v>1126</v>
      </c>
      <c r="V54" s="8"/>
    </row>
    <row r="55" spans="1:22" x14ac:dyDescent="0.2">
      <c r="A55" s="8" t="s">
        <v>320</v>
      </c>
      <c r="B55" s="8" t="s">
        <v>47</v>
      </c>
      <c r="C55" s="8" t="s">
        <v>321</v>
      </c>
      <c r="D55" s="8" t="s">
        <v>49</v>
      </c>
      <c r="E55" s="8" t="s">
        <v>1142</v>
      </c>
      <c r="F55" s="8" t="s">
        <v>300</v>
      </c>
      <c r="G55" s="8" t="s">
        <v>80</v>
      </c>
      <c r="H55" s="8" t="s">
        <v>1157</v>
      </c>
      <c r="I55" s="8" t="s">
        <v>1158</v>
      </c>
      <c r="J55" s="8" t="s">
        <v>301</v>
      </c>
      <c r="K55" s="8" t="s">
        <v>302</v>
      </c>
      <c r="L55" s="8" t="s">
        <v>303</v>
      </c>
      <c r="M55" s="8" t="s">
        <v>304</v>
      </c>
      <c r="N55" s="8" t="s">
        <v>305</v>
      </c>
      <c r="O55" s="8" t="s">
        <v>306</v>
      </c>
      <c r="P55" s="8" t="s">
        <v>55</v>
      </c>
      <c r="Q55" s="8" t="s">
        <v>56</v>
      </c>
      <c r="R55" s="8" t="s">
        <v>72</v>
      </c>
      <c r="S55" s="8" t="s">
        <v>1150</v>
      </c>
      <c r="T55" s="8" t="s">
        <v>1150</v>
      </c>
      <c r="U55" s="8" t="s">
        <v>212</v>
      </c>
      <c r="V55" s="8" t="s">
        <v>1145</v>
      </c>
    </row>
    <row r="56" spans="1:22" x14ac:dyDescent="0.2">
      <c r="A56" s="8" t="s">
        <v>322</v>
      </c>
      <c r="B56" s="8" t="s">
        <v>47</v>
      </c>
      <c r="C56" s="8" t="s">
        <v>323</v>
      </c>
      <c r="D56" s="8" t="s">
        <v>49</v>
      </c>
      <c r="E56" s="8" t="s">
        <v>1146</v>
      </c>
      <c r="F56" s="8" t="s">
        <v>300</v>
      </c>
      <c r="G56" s="8" t="s">
        <v>80</v>
      </c>
      <c r="H56" s="8" t="s">
        <v>324</v>
      </c>
      <c r="I56" s="8" t="s">
        <v>1159</v>
      </c>
      <c r="J56" s="8" t="s">
        <v>290</v>
      </c>
      <c r="K56" s="8" t="s">
        <v>309</v>
      </c>
      <c r="L56" s="8" t="s">
        <v>292</v>
      </c>
      <c r="M56" s="8" t="s">
        <v>310</v>
      </c>
      <c r="N56" s="8" t="s">
        <v>294</v>
      </c>
      <c r="O56" s="8" t="s">
        <v>311</v>
      </c>
      <c r="P56" s="8" t="s">
        <v>55</v>
      </c>
      <c r="Q56" s="8" t="s">
        <v>56</v>
      </c>
      <c r="R56" s="8" t="s">
        <v>72</v>
      </c>
      <c r="S56" s="8" t="s">
        <v>1126</v>
      </c>
      <c r="T56" s="8" t="s">
        <v>1126</v>
      </c>
      <c r="U56" s="8" t="s">
        <v>212</v>
      </c>
      <c r="V56" s="8" t="s">
        <v>1145</v>
      </c>
    </row>
    <row r="57" spans="1:22" x14ac:dyDescent="0.2">
      <c r="A57" s="8" t="s">
        <v>325</v>
      </c>
      <c r="B57" s="8" t="s">
        <v>47</v>
      </c>
      <c r="C57" s="8" t="s">
        <v>326</v>
      </c>
      <c r="D57" s="8" t="s">
        <v>49</v>
      </c>
      <c r="E57" s="8" t="s">
        <v>1148</v>
      </c>
      <c r="F57" s="8" t="s">
        <v>300</v>
      </c>
      <c r="G57" s="8" t="s">
        <v>80</v>
      </c>
      <c r="H57" s="8" t="s">
        <v>1160</v>
      </c>
      <c r="I57" s="8"/>
      <c r="J57" s="8" t="s">
        <v>314</v>
      </c>
      <c r="K57" s="8" t="s">
        <v>291</v>
      </c>
      <c r="L57" s="8" t="s">
        <v>315</v>
      </c>
      <c r="M57" s="8" t="s">
        <v>293</v>
      </c>
      <c r="N57" s="8" t="s">
        <v>316</v>
      </c>
      <c r="O57" s="8" t="s">
        <v>54</v>
      </c>
      <c r="P57" s="8" t="s">
        <v>55</v>
      </c>
      <c r="Q57" s="8" t="s">
        <v>56</v>
      </c>
      <c r="R57" s="8" t="s">
        <v>72</v>
      </c>
      <c r="S57" s="8" t="s">
        <v>1150</v>
      </c>
      <c r="T57" s="8" t="s">
        <v>1150</v>
      </c>
      <c r="U57" s="8" t="s">
        <v>1150</v>
      </c>
      <c r="V57" s="8" t="s">
        <v>1145</v>
      </c>
    </row>
    <row r="58" spans="1:22" x14ac:dyDescent="0.2">
      <c r="A58" s="8" t="s">
        <v>327</v>
      </c>
      <c r="B58" s="8" t="s">
        <v>47</v>
      </c>
      <c r="C58" s="8" t="s">
        <v>328</v>
      </c>
      <c r="D58" s="8" t="s">
        <v>49</v>
      </c>
      <c r="E58" s="8" t="s">
        <v>1161</v>
      </c>
      <c r="F58" s="8" t="s">
        <v>330</v>
      </c>
      <c r="G58" s="8" t="s">
        <v>1</v>
      </c>
      <c r="H58" s="8"/>
      <c r="I58" s="8"/>
      <c r="J58" s="8" t="s">
        <v>331</v>
      </c>
      <c r="K58" s="8" t="s">
        <v>332</v>
      </c>
      <c r="L58" s="8" t="s">
        <v>333</v>
      </c>
      <c r="M58" s="8" t="s">
        <v>334</v>
      </c>
      <c r="N58" s="8" t="s">
        <v>335</v>
      </c>
      <c r="O58" s="8" t="s">
        <v>54</v>
      </c>
      <c r="P58" s="8" t="s">
        <v>55</v>
      </c>
      <c r="Q58" s="8" t="s">
        <v>56</v>
      </c>
      <c r="R58" s="8" t="s">
        <v>47</v>
      </c>
      <c r="S58" s="8" t="s">
        <v>1162</v>
      </c>
      <c r="T58" s="8" t="s">
        <v>1162</v>
      </c>
      <c r="U58" s="8" t="s">
        <v>1162</v>
      </c>
      <c r="V58" s="8"/>
    </row>
    <row r="59" spans="1:22" x14ac:dyDescent="0.2">
      <c r="A59" s="8" t="s">
        <v>336</v>
      </c>
      <c r="B59" s="8" t="s">
        <v>47</v>
      </c>
      <c r="C59" s="8" t="s">
        <v>337</v>
      </c>
      <c r="D59" s="8" t="s">
        <v>49</v>
      </c>
      <c r="E59" s="8" t="s">
        <v>1163</v>
      </c>
      <c r="F59" s="8" t="s">
        <v>194</v>
      </c>
      <c r="G59" s="8" t="s">
        <v>73</v>
      </c>
      <c r="H59" s="8" t="s">
        <v>1164</v>
      </c>
      <c r="I59" s="8"/>
      <c r="J59" s="8" t="s">
        <v>339</v>
      </c>
      <c r="K59" s="8" t="s">
        <v>332</v>
      </c>
      <c r="L59" s="8" t="s">
        <v>340</v>
      </c>
      <c r="M59" s="8" t="s">
        <v>334</v>
      </c>
      <c r="N59" s="8" t="s">
        <v>197</v>
      </c>
      <c r="O59" s="8" t="s">
        <v>54</v>
      </c>
      <c r="P59" s="8" t="s">
        <v>55</v>
      </c>
      <c r="Q59" s="8" t="s">
        <v>56</v>
      </c>
      <c r="R59" s="8" t="s">
        <v>72</v>
      </c>
      <c r="S59" s="8" t="s">
        <v>1162</v>
      </c>
      <c r="T59" s="8" t="s">
        <v>1162</v>
      </c>
      <c r="U59" s="8" t="s">
        <v>1162</v>
      </c>
      <c r="V59" s="8" t="s">
        <v>1165</v>
      </c>
    </row>
    <row r="60" spans="1:22" x14ac:dyDescent="0.2">
      <c r="A60" s="8" t="s">
        <v>341</v>
      </c>
      <c r="B60" s="8" t="s">
        <v>47</v>
      </c>
      <c r="C60" s="8" t="s">
        <v>342</v>
      </c>
      <c r="D60" s="8" t="s">
        <v>49</v>
      </c>
      <c r="E60" s="8" t="s">
        <v>1166</v>
      </c>
      <c r="F60" s="8" t="s">
        <v>194</v>
      </c>
      <c r="G60" s="8" t="s">
        <v>73</v>
      </c>
      <c r="H60" s="8" t="s">
        <v>1164</v>
      </c>
      <c r="I60" s="8"/>
      <c r="J60" s="8" t="s">
        <v>339</v>
      </c>
      <c r="K60" s="8" t="s">
        <v>332</v>
      </c>
      <c r="L60" s="8" t="s">
        <v>340</v>
      </c>
      <c r="M60" s="8" t="s">
        <v>334</v>
      </c>
      <c r="N60" s="8" t="s">
        <v>197</v>
      </c>
      <c r="O60" s="8" t="s">
        <v>54</v>
      </c>
      <c r="P60" s="8" t="s">
        <v>55</v>
      </c>
      <c r="Q60" s="8" t="s">
        <v>56</v>
      </c>
      <c r="R60" s="8" t="s">
        <v>72</v>
      </c>
      <c r="S60" s="8" t="s">
        <v>1162</v>
      </c>
      <c r="T60" s="8" t="s">
        <v>1162</v>
      </c>
      <c r="U60" s="8" t="s">
        <v>1162</v>
      </c>
      <c r="V60" s="8" t="s">
        <v>1165</v>
      </c>
    </row>
    <row r="61" spans="1:22" x14ac:dyDescent="0.2">
      <c r="A61" s="8" t="s">
        <v>344</v>
      </c>
      <c r="B61" s="8" t="s">
        <v>47</v>
      </c>
      <c r="C61" s="8" t="s">
        <v>345</v>
      </c>
      <c r="D61" s="8" t="s">
        <v>49</v>
      </c>
      <c r="E61" s="8" t="s">
        <v>1167</v>
      </c>
      <c r="F61" s="8" t="s">
        <v>347</v>
      </c>
      <c r="G61" s="8" t="s">
        <v>73</v>
      </c>
      <c r="H61" s="8" t="s">
        <v>1168</v>
      </c>
      <c r="I61" s="8" t="s">
        <v>1169</v>
      </c>
      <c r="J61" s="8" t="s">
        <v>331</v>
      </c>
      <c r="K61" s="8" t="s">
        <v>348</v>
      </c>
      <c r="L61" s="8" t="s">
        <v>333</v>
      </c>
      <c r="M61" s="8" t="s">
        <v>349</v>
      </c>
      <c r="N61" s="8" t="s">
        <v>335</v>
      </c>
      <c r="O61" s="8" t="s">
        <v>350</v>
      </c>
      <c r="P61" s="8" t="s">
        <v>55</v>
      </c>
      <c r="Q61" s="8" t="s">
        <v>56</v>
      </c>
      <c r="R61" s="8" t="s">
        <v>72</v>
      </c>
      <c r="S61" s="8" t="s">
        <v>1162</v>
      </c>
      <c r="T61" s="8" t="s">
        <v>1162</v>
      </c>
      <c r="U61" s="8" t="s">
        <v>212</v>
      </c>
      <c r="V61" s="8" t="s">
        <v>1165</v>
      </c>
    </row>
    <row r="62" spans="1:22" x14ac:dyDescent="0.2">
      <c r="A62" s="8" t="s">
        <v>351</v>
      </c>
      <c r="B62" s="8" t="s">
        <v>47</v>
      </c>
      <c r="C62" s="8" t="s">
        <v>352</v>
      </c>
      <c r="D62" s="8" t="s">
        <v>49</v>
      </c>
      <c r="E62" s="8" t="s">
        <v>1170</v>
      </c>
      <c r="F62" s="8" t="s">
        <v>347</v>
      </c>
      <c r="G62" s="8" t="s">
        <v>73</v>
      </c>
      <c r="H62" s="8" t="s">
        <v>1168</v>
      </c>
      <c r="I62" s="8"/>
      <c r="J62" s="8" t="s">
        <v>331</v>
      </c>
      <c r="K62" s="8" t="s">
        <v>348</v>
      </c>
      <c r="L62" s="8" t="s">
        <v>333</v>
      </c>
      <c r="M62" s="8" t="s">
        <v>349</v>
      </c>
      <c r="N62" s="8" t="s">
        <v>354</v>
      </c>
      <c r="O62" s="8" t="s">
        <v>54</v>
      </c>
      <c r="P62" s="8" t="s">
        <v>55</v>
      </c>
      <c r="Q62" s="8" t="s">
        <v>56</v>
      </c>
      <c r="R62" s="8" t="s">
        <v>72</v>
      </c>
      <c r="S62" s="8" t="s">
        <v>1171</v>
      </c>
      <c r="T62" s="8" t="s">
        <v>1171</v>
      </c>
      <c r="U62" s="8" t="s">
        <v>1171</v>
      </c>
      <c r="V62" s="8" t="s">
        <v>1165</v>
      </c>
    </row>
    <row r="63" spans="1:22" x14ac:dyDescent="0.2">
      <c r="A63" s="8" t="s">
        <v>355</v>
      </c>
      <c r="B63" s="8" t="s">
        <v>47</v>
      </c>
      <c r="C63" s="8" t="s">
        <v>356</v>
      </c>
      <c r="D63" s="8" t="s">
        <v>49</v>
      </c>
      <c r="E63" s="8" t="s">
        <v>1172</v>
      </c>
      <c r="F63" s="8" t="s">
        <v>347</v>
      </c>
      <c r="G63" s="8" t="s">
        <v>73</v>
      </c>
      <c r="H63" s="8" t="s">
        <v>1168</v>
      </c>
      <c r="I63" s="8"/>
      <c r="J63" s="8" t="s">
        <v>331</v>
      </c>
      <c r="K63" s="8" t="s">
        <v>348</v>
      </c>
      <c r="L63" s="8" t="s">
        <v>333</v>
      </c>
      <c r="M63" s="8" t="s">
        <v>349</v>
      </c>
      <c r="N63" s="8" t="s">
        <v>354</v>
      </c>
      <c r="O63" s="8" t="s">
        <v>54</v>
      </c>
      <c r="P63" s="8" t="s">
        <v>55</v>
      </c>
      <c r="Q63" s="8" t="s">
        <v>56</v>
      </c>
      <c r="R63" s="8" t="s">
        <v>72</v>
      </c>
      <c r="S63" s="8" t="s">
        <v>1171</v>
      </c>
      <c r="T63" s="8" t="s">
        <v>1171</v>
      </c>
      <c r="U63" s="8" t="s">
        <v>1171</v>
      </c>
      <c r="V63" s="8" t="s">
        <v>1165</v>
      </c>
    </row>
    <row r="64" spans="1:22" x14ac:dyDescent="0.2">
      <c r="A64" s="8" t="s">
        <v>358</v>
      </c>
      <c r="B64" s="8" t="s">
        <v>47</v>
      </c>
      <c r="C64" s="8" t="s">
        <v>359</v>
      </c>
      <c r="D64" s="8" t="s">
        <v>49</v>
      </c>
      <c r="E64" s="8" t="s">
        <v>1173</v>
      </c>
      <c r="F64" s="8" t="s">
        <v>361</v>
      </c>
      <c r="G64" s="8" t="s">
        <v>1</v>
      </c>
      <c r="H64" s="8" t="s">
        <v>1174</v>
      </c>
      <c r="I64" s="8" t="s">
        <v>1175</v>
      </c>
      <c r="J64" s="8" t="s">
        <v>188</v>
      </c>
      <c r="K64" s="8" t="s">
        <v>362</v>
      </c>
      <c r="L64" s="8" t="s">
        <v>85</v>
      </c>
      <c r="M64" s="8" t="s">
        <v>363</v>
      </c>
      <c r="N64" s="8" t="s">
        <v>85</v>
      </c>
      <c r="O64" s="8" t="s">
        <v>363</v>
      </c>
      <c r="P64" s="8" t="s">
        <v>55</v>
      </c>
      <c r="Q64" s="8" t="s">
        <v>56</v>
      </c>
      <c r="R64" s="8" t="s">
        <v>72</v>
      </c>
      <c r="S64" s="8" t="s">
        <v>212</v>
      </c>
      <c r="T64" s="8" t="s">
        <v>212</v>
      </c>
      <c r="U64" s="8" t="s">
        <v>212</v>
      </c>
      <c r="V64" s="8" t="s">
        <v>1134</v>
      </c>
    </row>
    <row r="65" spans="1:22" x14ac:dyDescent="0.2">
      <c r="A65" s="8" t="s">
        <v>364</v>
      </c>
      <c r="B65" s="8" t="s">
        <v>47</v>
      </c>
      <c r="C65" s="8" t="s">
        <v>365</v>
      </c>
      <c r="D65" s="8" t="s">
        <v>49</v>
      </c>
      <c r="E65" s="8" t="s">
        <v>1176</v>
      </c>
      <c r="F65" s="8" t="s">
        <v>367</v>
      </c>
      <c r="G65" s="8" t="s">
        <v>57</v>
      </c>
      <c r="H65" s="8"/>
      <c r="I65" s="8"/>
      <c r="J65" s="8" t="s">
        <v>290</v>
      </c>
      <c r="K65" s="8" t="s">
        <v>217</v>
      </c>
      <c r="L65" s="8" t="s">
        <v>292</v>
      </c>
      <c r="M65" s="8" t="s">
        <v>218</v>
      </c>
      <c r="N65" s="8" t="s">
        <v>92</v>
      </c>
      <c r="O65" s="8" t="s">
        <v>54</v>
      </c>
      <c r="P65" s="8" t="s">
        <v>55</v>
      </c>
      <c r="Q65" s="8" t="s">
        <v>56</v>
      </c>
      <c r="R65" s="8" t="s">
        <v>47</v>
      </c>
      <c r="S65" s="8" t="s">
        <v>1177</v>
      </c>
      <c r="T65" s="8" t="s">
        <v>1126</v>
      </c>
      <c r="U65" s="8" t="s">
        <v>1177</v>
      </c>
      <c r="V65" s="8"/>
    </row>
    <row r="66" spans="1:22" x14ac:dyDescent="0.2">
      <c r="A66" s="8" t="s">
        <v>368</v>
      </c>
      <c r="B66" s="8" t="s">
        <v>47</v>
      </c>
      <c r="C66" s="8" t="s">
        <v>369</v>
      </c>
      <c r="D66" s="8" t="s">
        <v>49</v>
      </c>
      <c r="E66" s="8" t="s">
        <v>1178</v>
      </c>
      <c r="F66" s="8" t="s">
        <v>194</v>
      </c>
      <c r="G66" s="8" t="s">
        <v>1</v>
      </c>
      <c r="H66" s="8" t="s">
        <v>358</v>
      </c>
      <c r="I66" s="8" t="s">
        <v>1179</v>
      </c>
      <c r="J66" s="8" t="s">
        <v>371</v>
      </c>
      <c r="K66" s="8" t="s">
        <v>372</v>
      </c>
      <c r="L66" s="8" t="s">
        <v>92</v>
      </c>
      <c r="M66" s="8" t="s">
        <v>373</v>
      </c>
      <c r="N66" s="8" t="s">
        <v>92</v>
      </c>
      <c r="O66" s="8" t="s">
        <v>373</v>
      </c>
      <c r="P66" s="8" t="s">
        <v>55</v>
      </c>
      <c r="Q66" s="8" t="s">
        <v>56</v>
      </c>
      <c r="R66" s="8" t="s">
        <v>72</v>
      </c>
      <c r="S66" s="8" t="s">
        <v>212</v>
      </c>
      <c r="T66" s="8" t="s">
        <v>212</v>
      </c>
      <c r="U66" s="8" t="s">
        <v>212</v>
      </c>
      <c r="V66" s="8" t="s">
        <v>1129</v>
      </c>
    </row>
    <row r="67" spans="1:22" x14ac:dyDescent="0.2">
      <c r="A67" s="8" t="s">
        <v>374</v>
      </c>
      <c r="B67" s="8" t="s">
        <v>47</v>
      </c>
      <c r="C67" s="8" t="s">
        <v>375</v>
      </c>
      <c r="D67" s="8" t="s">
        <v>49</v>
      </c>
      <c r="E67" s="8" t="s">
        <v>1180</v>
      </c>
      <c r="F67" s="8" t="s">
        <v>265</v>
      </c>
      <c r="G67" s="8" t="s">
        <v>1</v>
      </c>
      <c r="H67" s="8"/>
      <c r="I67" s="8"/>
      <c r="J67" s="8" t="s">
        <v>266</v>
      </c>
      <c r="K67" s="8" t="s">
        <v>217</v>
      </c>
      <c r="L67" s="8" t="s">
        <v>267</v>
      </c>
      <c r="M67" s="8" t="s">
        <v>218</v>
      </c>
      <c r="N67" s="8" t="s">
        <v>228</v>
      </c>
      <c r="O67" s="8" t="s">
        <v>54</v>
      </c>
      <c r="P67" s="8" t="s">
        <v>55</v>
      </c>
      <c r="Q67" s="8" t="s">
        <v>56</v>
      </c>
      <c r="R67" s="8" t="s">
        <v>47</v>
      </c>
      <c r="S67" s="8" t="s">
        <v>1126</v>
      </c>
      <c r="T67" s="8" t="s">
        <v>1126</v>
      </c>
      <c r="U67" s="8" t="s">
        <v>1126</v>
      </c>
      <c r="V67" s="8"/>
    </row>
    <row r="68" spans="1:22" x14ac:dyDescent="0.2">
      <c r="A68" s="8" t="s">
        <v>377</v>
      </c>
      <c r="B68" s="8" t="s">
        <v>47</v>
      </c>
      <c r="C68" s="8" t="s">
        <v>378</v>
      </c>
      <c r="D68" s="8" t="s">
        <v>49</v>
      </c>
      <c r="E68" s="8" t="s">
        <v>1132</v>
      </c>
      <c r="F68" s="8" t="s">
        <v>194</v>
      </c>
      <c r="G68" s="8" t="s">
        <v>73</v>
      </c>
      <c r="H68" s="8" t="s">
        <v>379</v>
      </c>
      <c r="I68" s="8"/>
      <c r="J68" s="8" t="s">
        <v>380</v>
      </c>
      <c r="K68" s="8" t="s">
        <v>381</v>
      </c>
      <c r="L68" s="8" t="s">
        <v>382</v>
      </c>
      <c r="M68" s="8" t="s">
        <v>383</v>
      </c>
      <c r="N68" s="8" t="s">
        <v>197</v>
      </c>
      <c r="O68" s="8" t="s">
        <v>54</v>
      </c>
      <c r="P68" s="8" t="s">
        <v>55</v>
      </c>
      <c r="Q68" s="8" t="s">
        <v>56</v>
      </c>
      <c r="R68" s="8" t="s">
        <v>72</v>
      </c>
      <c r="S68" s="8" t="s">
        <v>1181</v>
      </c>
      <c r="T68" s="8" t="s">
        <v>1181</v>
      </c>
      <c r="U68" s="8" t="s">
        <v>1181</v>
      </c>
      <c r="V68" s="8" t="s">
        <v>1134</v>
      </c>
    </row>
    <row r="69" spans="1:22" x14ac:dyDescent="0.2">
      <c r="A69" s="8" t="s">
        <v>384</v>
      </c>
      <c r="B69" s="8" t="s">
        <v>47</v>
      </c>
      <c r="C69" s="8" t="s">
        <v>385</v>
      </c>
      <c r="D69" s="8" t="s">
        <v>49</v>
      </c>
      <c r="E69" s="8" t="s">
        <v>1135</v>
      </c>
      <c r="F69" s="8" t="s">
        <v>240</v>
      </c>
      <c r="G69" s="8" t="s">
        <v>73</v>
      </c>
      <c r="H69" s="8" t="s">
        <v>1182</v>
      </c>
      <c r="I69" s="8" t="s">
        <v>386</v>
      </c>
      <c r="J69" s="8" t="s">
        <v>387</v>
      </c>
      <c r="K69" s="8" t="s">
        <v>388</v>
      </c>
      <c r="L69" s="8" t="s">
        <v>389</v>
      </c>
      <c r="M69" s="8" t="s">
        <v>390</v>
      </c>
      <c r="N69" s="8" t="s">
        <v>244</v>
      </c>
      <c r="O69" s="8" t="s">
        <v>245</v>
      </c>
      <c r="P69" s="8" t="s">
        <v>55</v>
      </c>
      <c r="Q69" s="8" t="s">
        <v>56</v>
      </c>
      <c r="R69" s="8" t="s">
        <v>72</v>
      </c>
      <c r="S69" s="8" t="s">
        <v>1181</v>
      </c>
      <c r="T69" s="8" t="s">
        <v>1181</v>
      </c>
      <c r="U69" s="8" t="s">
        <v>212</v>
      </c>
      <c r="V69" s="8" t="s">
        <v>1129</v>
      </c>
    </row>
    <row r="70" spans="1:22" x14ac:dyDescent="0.2">
      <c r="A70" s="8" t="s">
        <v>391</v>
      </c>
      <c r="B70" s="8" t="s">
        <v>47</v>
      </c>
      <c r="C70" s="8" t="s">
        <v>392</v>
      </c>
      <c r="D70" s="8" t="s">
        <v>49</v>
      </c>
      <c r="E70" s="8" t="s">
        <v>1137</v>
      </c>
      <c r="F70" s="8" t="s">
        <v>194</v>
      </c>
      <c r="G70" s="8" t="s">
        <v>73</v>
      </c>
      <c r="H70" s="8" t="s">
        <v>1182</v>
      </c>
      <c r="I70" s="8" t="s">
        <v>393</v>
      </c>
      <c r="J70" s="8" t="s">
        <v>387</v>
      </c>
      <c r="K70" s="8" t="s">
        <v>394</v>
      </c>
      <c r="L70" s="8" t="s">
        <v>389</v>
      </c>
      <c r="M70" s="8" t="s">
        <v>395</v>
      </c>
      <c r="N70" s="8" t="s">
        <v>244</v>
      </c>
      <c r="O70" s="8" t="s">
        <v>250</v>
      </c>
      <c r="P70" s="8" t="s">
        <v>55</v>
      </c>
      <c r="Q70" s="8" t="s">
        <v>56</v>
      </c>
      <c r="R70" s="8" t="s">
        <v>72</v>
      </c>
      <c r="S70" s="8" t="s">
        <v>1181</v>
      </c>
      <c r="T70" s="8" t="s">
        <v>1181</v>
      </c>
      <c r="U70" s="8" t="s">
        <v>212</v>
      </c>
      <c r="V70" s="8" t="s">
        <v>1129</v>
      </c>
    </row>
    <row r="71" spans="1:22" x14ac:dyDescent="0.2">
      <c r="A71" s="8" t="s">
        <v>396</v>
      </c>
      <c r="B71" s="8" t="s">
        <v>47</v>
      </c>
      <c r="C71" s="8" t="s">
        <v>397</v>
      </c>
      <c r="D71" s="8" t="s">
        <v>49</v>
      </c>
      <c r="E71" s="8" t="s">
        <v>1138</v>
      </c>
      <c r="F71" s="8" t="s">
        <v>194</v>
      </c>
      <c r="G71" s="8" t="s">
        <v>73</v>
      </c>
      <c r="H71" s="8" t="s">
        <v>391</v>
      </c>
      <c r="I71" s="8" t="s">
        <v>386</v>
      </c>
      <c r="J71" s="8" t="s">
        <v>398</v>
      </c>
      <c r="K71" s="8" t="s">
        <v>388</v>
      </c>
      <c r="L71" s="8" t="s">
        <v>399</v>
      </c>
      <c r="M71" s="8" t="s">
        <v>390</v>
      </c>
      <c r="N71" s="8" t="s">
        <v>255</v>
      </c>
      <c r="O71" s="8" t="s">
        <v>245</v>
      </c>
      <c r="P71" s="8" t="s">
        <v>55</v>
      </c>
      <c r="Q71" s="8" t="s">
        <v>56</v>
      </c>
      <c r="R71" s="8" t="s">
        <v>72</v>
      </c>
      <c r="S71" s="8" t="s">
        <v>1181</v>
      </c>
      <c r="T71" s="8" t="s">
        <v>1181</v>
      </c>
      <c r="U71" s="8" t="s">
        <v>212</v>
      </c>
      <c r="V71" s="8" t="s">
        <v>1134</v>
      </c>
    </row>
    <row r="72" spans="1:22" x14ac:dyDescent="0.2">
      <c r="A72" s="8" t="s">
        <v>400</v>
      </c>
      <c r="B72" s="8" t="s">
        <v>47</v>
      </c>
      <c r="C72" s="8" t="s">
        <v>401</v>
      </c>
      <c r="D72" s="8" t="s">
        <v>49</v>
      </c>
      <c r="E72" s="8" t="s">
        <v>1139</v>
      </c>
      <c r="F72" s="8" t="s">
        <v>194</v>
      </c>
      <c r="G72" s="8" t="s">
        <v>73</v>
      </c>
      <c r="H72" s="8" t="s">
        <v>391</v>
      </c>
      <c r="I72" s="8" t="s">
        <v>386</v>
      </c>
      <c r="J72" s="8" t="s">
        <v>398</v>
      </c>
      <c r="K72" s="8" t="s">
        <v>388</v>
      </c>
      <c r="L72" s="8" t="s">
        <v>399</v>
      </c>
      <c r="M72" s="8" t="s">
        <v>390</v>
      </c>
      <c r="N72" s="8" t="s">
        <v>255</v>
      </c>
      <c r="O72" s="8" t="s">
        <v>245</v>
      </c>
      <c r="P72" s="8" t="s">
        <v>55</v>
      </c>
      <c r="Q72" s="8" t="s">
        <v>56</v>
      </c>
      <c r="R72" s="8" t="s">
        <v>72</v>
      </c>
      <c r="S72" s="8" t="s">
        <v>1181</v>
      </c>
      <c r="T72" s="8" t="s">
        <v>1181</v>
      </c>
      <c r="U72" s="8" t="s">
        <v>212</v>
      </c>
      <c r="V72" s="8" t="s">
        <v>1129</v>
      </c>
    </row>
    <row r="73" spans="1:22" x14ac:dyDescent="0.2">
      <c r="A73" s="8" t="s">
        <v>402</v>
      </c>
      <c r="B73" s="8" t="s">
        <v>47</v>
      </c>
      <c r="C73" s="8" t="s">
        <v>403</v>
      </c>
      <c r="D73" s="8" t="s">
        <v>49</v>
      </c>
      <c r="E73" s="8" t="s">
        <v>1140</v>
      </c>
      <c r="F73" s="8" t="s">
        <v>194</v>
      </c>
      <c r="G73" s="8" t="s">
        <v>73</v>
      </c>
      <c r="H73" s="8" t="s">
        <v>379</v>
      </c>
      <c r="I73" s="8"/>
      <c r="J73" s="8" t="s">
        <v>380</v>
      </c>
      <c r="K73" s="8" t="s">
        <v>381</v>
      </c>
      <c r="L73" s="8" t="s">
        <v>382</v>
      </c>
      <c r="M73" s="8" t="s">
        <v>383</v>
      </c>
      <c r="N73" s="8" t="s">
        <v>197</v>
      </c>
      <c r="O73" s="8" t="s">
        <v>54</v>
      </c>
      <c r="P73" s="8" t="s">
        <v>55</v>
      </c>
      <c r="Q73" s="8" t="s">
        <v>56</v>
      </c>
      <c r="R73" s="8" t="s">
        <v>72</v>
      </c>
      <c r="S73" s="8" t="s">
        <v>1181</v>
      </c>
      <c r="T73" s="8" t="s">
        <v>1181</v>
      </c>
      <c r="U73" s="8" t="s">
        <v>1181</v>
      </c>
      <c r="V73" s="8" t="s">
        <v>1129</v>
      </c>
    </row>
    <row r="74" spans="1:22" x14ac:dyDescent="0.2">
      <c r="A74" s="8" t="s">
        <v>404</v>
      </c>
      <c r="B74" s="8" t="s">
        <v>47</v>
      </c>
      <c r="C74" s="8" t="s">
        <v>405</v>
      </c>
      <c r="D74" s="8" t="s">
        <v>49</v>
      </c>
      <c r="E74" s="8" t="s">
        <v>1141</v>
      </c>
      <c r="F74" s="8" t="s">
        <v>265</v>
      </c>
      <c r="G74" s="8" t="s">
        <v>73</v>
      </c>
      <c r="H74" s="8"/>
      <c r="I74" s="8"/>
      <c r="J74" s="8" t="s">
        <v>266</v>
      </c>
      <c r="K74" s="8" t="s">
        <v>217</v>
      </c>
      <c r="L74" s="8" t="s">
        <v>267</v>
      </c>
      <c r="M74" s="8" t="s">
        <v>218</v>
      </c>
      <c r="N74" s="8" t="s">
        <v>228</v>
      </c>
      <c r="O74" s="8" t="s">
        <v>54</v>
      </c>
      <c r="P74" s="8" t="s">
        <v>55</v>
      </c>
      <c r="Q74" s="8" t="s">
        <v>56</v>
      </c>
      <c r="R74" s="8" t="s">
        <v>47</v>
      </c>
      <c r="S74" s="8" t="s">
        <v>1126</v>
      </c>
      <c r="T74" s="8" t="s">
        <v>1126</v>
      </c>
      <c r="U74" s="8" t="s">
        <v>1126</v>
      </c>
      <c r="V74" s="8"/>
    </row>
    <row r="75" spans="1:22" x14ac:dyDescent="0.2">
      <c r="A75" s="8" t="s">
        <v>406</v>
      </c>
      <c r="B75" s="8" t="s">
        <v>47</v>
      </c>
      <c r="C75" s="8" t="s">
        <v>407</v>
      </c>
      <c r="D75" s="8" t="s">
        <v>49</v>
      </c>
      <c r="E75" s="8" t="s">
        <v>1142</v>
      </c>
      <c r="F75" s="8" t="s">
        <v>83</v>
      </c>
      <c r="G75" s="8" t="s">
        <v>80</v>
      </c>
      <c r="H75" s="8" t="s">
        <v>1183</v>
      </c>
      <c r="I75" s="8" t="s">
        <v>1184</v>
      </c>
      <c r="J75" s="8" t="s">
        <v>270</v>
      </c>
      <c r="K75" s="8" t="s">
        <v>271</v>
      </c>
      <c r="L75" s="8" t="s">
        <v>272</v>
      </c>
      <c r="M75" s="8" t="s">
        <v>273</v>
      </c>
      <c r="N75" s="8" t="s">
        <v>274</v>
      </c>
      <c r="O75" s="8" t="s">
        <v>275</v>
      </c>
      <c r="P75" s="8" t="s">
        <v>55</v>
      </c>
      <c r="Q75" s="8" t="s">
        <v>56</v>
      </c>
      <c r="R75" s="8" t="s">
        <v>72</v>
      </c>
      <c r="S75" s="8" t="s">
        <v>1126</v>
      </c>
      <c r="T75" s="8" t="s">
        <v>1126</v>
      </c>
      <c r="U75" s="8" t="s">
        <v>212</v>
      </c>
      <c r="V75" s="8" t="s">
        <v>1145</v>
      </c>
    </row>
    <row r="76" spans="1:22" x14ac:dyDescent="0.2">
      <c r="A76" s="8" t="s">
        <v>408</v>
      </c>
      <c r="B76" s="8" t="s">
        <v>47</v>
      </c>
      <c r="C76" s="8" t="s">
        <v>409</v>
      </c>
      <c r="D76" s="8" t="s">
        <v>49</v>
      </c>
      <c r="E76" s="8" t="s">
        <v>1146</v>
      </c>
      <c r="F76" s="8" t="s">
        <v>83</v>
      </c>
      <c r="G76" s="8" t="s">
        <v>80</v>
      </c>
      <c r="H76" s="8" t="s">
        <v>410</v>
      </c>
      <c r="I76" s="8" t="s">
        <v>1185</v>
      </c>
      <c r="J76" s="8" t="s">
        <v>266</v>
      </c>
      <c r="K76" s="8" t="s">
        <v>279</v>
      </c>
      <c r="L76" s="8" t="s">
        <v>267</v>
      </c>
      <c r="M76" s="8" t="s">
        <v>280</v>
      </c>
      <c r="N76" s="8" t="s">
        <v>228</v>
      </c>
      <c r="O76" s="8" t="s">
        <v>281</v>
      </c>
      <c r="P76" s="8" t="s">
        <v>55</v>
      </c>
      <c r="Q76" s="8" t="s">
        <v>56</v>
      </c>
      <c r="R76" s="8" t="s">
        <v>72</v>
      </c>
      <c r="S76" s="8" t="s">
        <v>1126</v>
      </c>
      <c r="T76" s="8" t="s">
        <v>1126</v>
      </c>
      <c r="U76" s="8" t="s">
        <v>212</v>
      </c>
      <c r="V76" s="8" t="s">
        <v>1145</v>
      </c>
    </row>
    <row r="77" spans="1:22" x14ac:dyDescent="0.2">
      <c r="A77" s="8" t="s">
        <v>411</v>
      </c>
      <c r="B77" s="8" t="s">
        <v>47</v>
      </c>
      <c r="C77" s="8" t="s">
        <v>412</v>
      </c>
      <c r="D77" s="8" t="s">
        <v>49</v>
      </c>
      <c r="E77" s="8" t="s">
        <v>1148</v>
      </c>
      <c r="F77" s="8" t="s">
        <v>83</v>
      </c>
      <c r="G77" s="8" t="s">
        <v>80</v>
      </c>
      <c r="H77" s="8" t="s">
        <v>1185</v>
      </c>
      <c r="I77" s="8"/>
      <c r="J77" s="8" t="s">
        <v>284</v>
      </c>
      <c r="K77" s="8" t="s">
        <v>217</v>
      </c>
      <c r="L77" s="8" t="s">
        <v>285</v>
      </c>
      <c r="M77" s="8" t="s">
        <v>218</v>
      </c>
      <c r="N77" s="8" t="s">
        <v>114</v>
      </c>
      <c r="O77" s="8" t="s">
        <v>54</v>
      </c>
      <c r="P77" s="8" t="s">
        <v>55</v>
      </c>
      <c r="Q77" s="8" t="s">
        <v>56</v>
      </c>
      <c r="R77" s="8" t="s">
        <v>72</v>
      </c>
      <c r="S77" s="8" t="s">
        <v>1126</v>
      </c>
      <c r="T77" s="8" t="s">
        <v>1126</v>
      </c>
      <c r="U77" s="8" t="s">
        <v>1126</v>
      </c>
      <c r="V77" s="8" t="s">
        <v>1145</v>
      </c>
    </row>
    <row r="78" spans="1:22" x14ac:dyDescent="0.2">
      <c r="A78" s="8" t="s">
        <v>413</v>
      </c>
      <c r="B78" s="8" t="s">
        <v>47</v>
      </c>
      <c r="C78" s="8" t="s">
        <v>414</v>
      </c>
      <c r="D78" s="8" t="s">
        <v>49</v>
      </c>
      <c r="E78" s="8" t="s">
        <v>1186</v>
      </c>
      <c r="F78" s="8" t="s">
        <v>289</v>
      </c>
      <c r="G78" s="8" t="s">
        <v>1</v>
      </c>
      <c r="H78" s="8"/>
      <c r="I78" s="8"/>
      <c r="J78" s="8" t="s">
        <v>290</v>
      </c>
      <c r="K78" s="8" t="s">
        <v>291</v>
      </c>
      <c r="L78" s="8" t="s">
        <v>292</v>
      </c>
      <c r="M78" s="8" t="s">
        <v>293</v>
      </c>
      <c r="N78" s="8" t="s">
        <v>294</v>
      </c>
      <c r="O78" s="8" t="s">
        <v>54</v>
      </c>
      <c r="P78" s="8" t="s">
        <v>55</v>
      </c>
      <c r="Q78" s="8" t="s">
        <v>56</v>
      </c>
      <c r="R78" s="8" t="s">
        <v>47</v>
      </c>
      <c r="S78" s="8" t="s">
        <v>1126</v>
      </c>
      <c r="T78" s="8" t="s">
        <v>1150</v>
      </c>
      <c r="U78" s="8" t="s">
        <v>1126</v>
      </c>
      <c r="V78" s="8"/>
    </row>
    <row r="79" spans="1:22" x14ac:dyDescent="0.2">
      <c r="A79" s="8" t="s">
        <v>416</v>
      </c>
      <c r="B79" s="8" t="s">
        <v>47</v>
      </c>
      <c r="C79" s="8" t="s">
        <v>417</v>
      </c>
      <c r="D79" s="8" t="s">
        <v>49</v>
      </c>
      <c r="E79" s="8" t="s">
        <v>1151</v>
      </c>
      <c r="F79" s="8" t="s">
        <v>289</v>
      </c>
      <c r="G79" s="8" t="s">
        <v>73</v>
      </c>
      <c r="H79" s="8"/>
      <c r="I79" s="8"/>
      <c r="J79" s="8" t="s">
        <v>290</v>
      </c>
      <c r="K79" s="8" t="s">
        <v>291</v>
      </c>
      <c r="L79" s="8" t="s">
        <v>292</v>
      </c>
      <c r="M79" s="8" t="s">
        <v>293</v>
      </c>
      <c r="N79" s="8" t="s">
        <v>294</v>
      </c>
      <c r="O79" s="8" t="s">
        <v>54</v>
      </c>
      <c r="P79" s="8" t="s">
        <v>55</v>
      </c>
      <c r="Q79" s="8" t="s">
        <v>56</v>
      </c>
      <c r="R79" s="8" t="s">
        <v>47</v>
      </c>
      <c r="S79" s="8" t="s">
        <v>1126</v>
      </c>
      <c r="T79" s="8" t="s">
        <v>1150</v>
      </c>
      <c r="U79" s="8" t="s">
        <v>1126</v>
      </c>
      <c r="V79" s="8"/>
    </row>
    <row r="80" spans="1:22" x14ac:dyDescent="0.2">
      <c r="A80" s="8" t="s">
        <v>418</v>
      </c>
      <c r="B80" s="8" t="s">
        <v>47</v>
      </c>
      <c r="C80" s="8" t="s">
        <v>419</v>
      </c>
      <c r="D80" s="8" t="s">
        <v>49</v>
      </c>
      <c r="E80" s="8" t="s">
        <v>1142</v>
      </c>
      <c r="F80" s="8" t="s">
        <v>300</v>
      </c>
      <c r="G80" s="8" t="s">
        <v>80</v>
      </c>
      <c r="H80" s="8" t="s">
        <v>1187</v>
      </c>
      <c r="I80" s="8" t="s">
        <v>1188</v>
      </c>
      <c r="J80" s="8" t="s">
        <v>301</v>
      </c>
      <c r="K80" s="8" t="s">
        <v>302</v>
      </c>
      <c r="L80" s="8" t="s">
        <v>303</v>
      </c>
      <c r="M80" s="8" t="s">
        <v>304</v>
      </c>
      <c r="N80" s="8" t="s">
        <v>305</v>
      </c>
      <c r="O80" s="8" t="s">
        <v>306</v>
      </c>
      <c r="P80" s="8" t="s">
        <v>55</v>
      </c>
      <c r="Q80" s="8" t="s">
        <v>56</v>
      </c>
      <c r="R80" s="8" t="s">
        <v>72</v>
      </c>
      <c r="S80" s="8" t="s">
        <v>1150</v>
      </c>
      <c r="T80" s="8" t="s">
        <v>1150</v>
      </c>
      <c r="U80" s="8" t="s">
        <v>212</v>
      </c>
      <c r="V80" s="8" t="s">
        <v>1145</v>
      </c>
    </row>
    <row r="81" spans="1:22" x14ac:dyDescent="0.2">
      <c r="A81" s="8" t="s">
        <v>420</v>
      </c>
      <c r="B81" s="8" t="s">
        <v>47</v>
      </c>
      <c r="C81" s="8" t="s">
        <v>421</v>
      </c>
      <c r="D81" s="8" t="s">
        <v>49</v>
      </c>
      <c r="E81" s="8" t="s">
        <v>1146</v>
      </c>
      <c r="F81" s="8" t="s">
        <v>300</v>
      </c>
      <c r="G81" s="8" t="s">
        <v>80</v>
      </c>
      <c r="H81" s="8" t="s">
        <v>219</v>
      </c>
      <c r="I81" s="8" t="s">
        <v>1189</v>
      </c>
      <c r="J81" s="8" t="s">
        <v>290</v>
      </c>
      <c r="K81" s="8" t="s">
        <v>309</v>
      </c>
      <c r="L81" s="8" t="s">
        <v>292</v>
      </c>
      <c r="M81" s="8" t="s">
        <v>310</v>
      </c>
      <c r="N81" s="8" t="s">
        <v>294</v>
      </c>
      <c r="O81" s="8" t="s">
        <v>311</v>
      </c>
      <c r="P81" s="8" t="s">
        <v>55</v>
      </c>
      <c r="Q81" s="8" t="s">
        <v>56</v>
      </c>
      <c r="R81" s="8" t="s">
        <v>72</v>
      </c>
      <c r="S81" s="8" t="s">
        <v>1126</v>
      </c>
      <c r="T81" s="8" t="s">
        <v>1126</v>
      </c>
      <c r="U81" s="8" t="s">
        <v>212</v>
      </c>
      <c r="V81" s="8" t="s">
        <v>1145</v>
      </c>
    </row>
    <row r="82" spans="1:22" x14ac:dyDescent="0.2">
      <c r="A82" s="8" t="s">
        <v>422</v>
      </c>
      <c r="B82" s="8" t="s">
        <v>47</v>
      </c>
      <c r="C82" s="8" t="s">
        <v>423</v>
      </c>
      <c r="D82" s="8" t="s">
        <v>49</v>
      </c>
      <c r="E82" s="8" t="s">
        <v>1148</v>
      </c>
      <c r="F82" s="8" t="s">
        <v>300</v>
      </c>
      <c r="G82" s="8" t="s">
        <v>80</v>
      </c>
      <c r="H82" s="8" t="s">
        <v>1190</v>
      </c>
      <c r="I82" s="8"/>
      <c r="J82" s="8" t="s">
        <v>314</v>
      </c>
      <c r="K82" s="8" t="s">
        <v>291</v>
      </c>
      <c r="L82" s="8" t="s">
        <v>315</v>
      </c>
      <c r="M82" s="8" t="s">
        <v>293</v>
      </c>
      <c r="N82" s="8" t="s">
        <v>316</v>
      </c>
      <c r="O82" s="8" t="s">
        <v>54</v>
      </c>
      <c r="P82" s="8" t="s">
        <v>55</v>
      </c>
      <c r="Q82" s="8" t="s">
        <v>56</v>
      </c>
      <c r="R82" s="8" t="s">
        <v>72</v>
      </c>
      <c r="S82" s="8" t="s">
        <v>1150</v>
      </c>
      <c r="T82" s="8" t="s">
        <v>1150</v>
      </c>
      <c r="U82" s="8" t="s">
        <v>1150</v>
      </c>
      <c r="V82" s="8" t="s">
        <v>1145</v>
      </c>
    </row>
    <row r="83" spans="1:22" x14ac:dyDescent="0.2">
      <c r="A83" s="8" t="s">
        <v>424</v>
      </c>
      <c r="B83" s="8" t="s">
        <v>47</v>
      </c>
      <c r="C83" s="8" t="s">
        <v>425</v>
      </c>
      <c r="D83" s="8" t="s">
        <v>49</v>
      </c>
      <c r="E83" s="8" t="s">
        <v>1156</v>
      </c>
      <c r="F83" s="8" t="s">
        <v>289</v>
      </c>
      <c r="G83" s="8" t="s">
        <v>73</v>
      </c>
      <c r="H83" s="8"/>
      <c r="I83" s="8"/>
      <c r="J83" s="8" t="s">
        <v>290</v>
      </c>
      <c r="K83" s="8" t="s">
        <v>291</v>
      </c>
      <c r="L83" s="8" t="s">
        <v>292</v>
      </c>
      <c r="M83" s="8" t="s">
        <v>293</v>
      </c>
      <c r="N83" s="8" t="s">
        <v>294</v>
      </c>
      <c r="O83" s="8" t="s">
        <v>54</v>
      </c>
      <c r="P83" s="8" t="s">
        <v>55</v>
      </c>
      <c r="Q83" s="8" t="s">
        <v>56</v>
      </c>
      <c r="R83" s="8" t="s">
        <v>47</v>
      </c>
      <c r="S83" s="8" t="s">
        <v>1126</v>
      </c>
      <c r="T83" s="8" t="s">
        <v>1150</v>
      </c>
      <c r="U83" s="8" t="s">
        <v>1126</v>
      </c>
      <c r="V83" s="8"/>
    </row>
    <row r="84" spans="1:22" x14ac:dyDescent="0.2">
      <c r="A84" s="8" t="s">
        <v>427</v>
      </c>
      <c r="B84" s="8" t="s">
        <v>47</v>
      </c>
      <c r="C84" s="8" t="s">
        <v>428</v>
      </c>
      <c r="D84" s="8" t="s">
        <v>49</v>
      </c>
      <c r="E84" s="8" t="s">
        <v>1142</v>
      </c>
      <c r="F84" s="8" t="s">
        <v>300</v>
      </c>
      <c r="G84" s="8" t="s">
        <v>80</v>
      </c>
      <c r="H84" s="8" t="s">
        <v>1191</v>
      </c>
      <c r="I84" s="8" t="s">
        <v>1192</v>
      </c>
      <c r="J84" s="8" t="s">
        <v>301</v>
      </c>
      <c r="K84" s="8" t="s">
        <v>302</v>
      </c>
      <c r="L84" s="8" t="s">
        <v>303</v>
      </c>
      <c r="M84" s="8" t="s">
        <v>304</v>
      </c>
      <c r="N84" s="8" t="s">
        <v>305</v>
      </c>
      <c r="O84" s="8" t="s">
        <v>306</v>
      </c>
      <c r="P84" s="8" t="s">
        <v>55</v>
      </c>
      <c r="Q84" s="8" t="s">
        <v>56</v>
      </c>
      <c r="R84" s="8" t="s">
        <v>72</v>
      </c>
      <c r="S84" s="8" t="s">
        <v>1150</v>
      </c>
      <c r="T84" s="8" t="s">
        <v>1150</v>
      </c>
      <c r="U84" s="8" t="s">
        <v>212</v>
      </c>
      <c r="V84" s="8" t="s">
        <v>1145</v>
      </c>
    </row>
    <row r="85" spans="1:22" x14ac:dyDescent="0.2">
      <c r="A85" s="8" t="s">
        <v>429</v>
      </c>
      <c r="B85" s="8" t="s">
        <v>47</v>
      </c>
      <c r="C85" s="8" t="s">
        <v>430</v>
      </c>
      <c r="D85" s="8" t="s">
        <v>49</v>
      </c>
      <c r="E85" s="8" t="s">
        <v>1146</v>
      </c>
      <c r="F85" s="8" t="s">
        <v>300</v>
      </c>
      <c r="G85" s="8" t="s">
        <v>80</v>
      </c>
      <c r="H85" s="8" t="s">
        <v>431</v>
      </c>
      <c r="I85" s="8" t="s">
        <v>1193</v>
      </c>
      <c r="J85" s="8" t="s">
        <v>290</v>
      </c>
      <c r="K85" s="8" t="s">
        <v>309</v>
      </c>
      <c r="L85" s="8" t="s">
        <v>292</v>
      </c>
      <c r="M85" s="8" t="s">
        <v>310</v>
      </c>
      <c r="N85" s="8" t="s">
        <v>294</v>
      </c>
      <c r="O85" s="8" t="s">
        <v>311</v>
      </c>
      <c r="P85" s="8" t="s">
        <v>55</v>
      </c>
      <c r="Q85" s="8" t="s">
        <v>56</v>
      </c>
      <c r="R85" s="8" t="s">
        <v>72</v>
      </c>
      <c r="S85" s="8" t="s">
        <v>1126</v>
      </c>
      <c r="T85" s="8" t="s">
        <v>1126</v>
      </c>
      <c r="U85" s="8" t="s">
        <v>212</v>
      </c>
      <c r="V85" s="8" t="s">
        <v>1145</v>
      </c>
    </row>
    <row r="86" spans="1:22" x14ac:dyDescent="0.2">
      <c r="A86" s="8" t="s">
        <v>432</v>
      </c>
      <c r="B86" s="8" t="s">
        <v>47</v>
      </c>
      <c r="C86" s="8" t="s">
        <v>433</v>
      </c>
      <c r="D86" s="8" t="s">
        <v>49</v>
      </c>
      <c r="E86" s="8" t="s">
        <v>1148</v>
      </c>
      <c r="F86" s="8" t="s">
        <v>300</v>
      </c>
      <c r="G86" s="8" t="s">
        <v>80</v>
      </c>
      <c r="H86" s="8" t="s">
        <v>1194</v>
      </c>
      <c r="I86" s="8"/>
      <c r="J86" s="8" t="s">
        <v>314</v>
      </c>
      <c r="K86" s="8" t="s">
        <v>291</v>
      </c>
      <c r="L86" s="8" t="s">
        <v>315</v>
      </c>
      <c r="M86" s="8" t="s">
        <v>293</v>
      </c>
      <c r="N86" s="8" t="s">
        <v>316</v>
      </c>
      <c r="O86" s="8" t="s">
        <v>54</v>
      </c>
      <c r="P86" s="8" t="s">
        <v>55</v>
      </c>
      <c r="Q86" s="8" t="s">
        <v>56</v>
      </c>
      <c r="R86" s="8" t="s">
        <v>72</v>
      </c>
      <c r="S86" s="8" t="s">
        <v>1150</v>
      </c>
      <c r="T86" s="8" t="s">
        <v>1150</v>
      </c>
      <c r="U86" s="8" t="s">
        <v>1150</v>
      </c>
      <c r="V86" s="8" t="s">
        <v>1145</v>
      </c>
    </row>
    <row r="87" spans="1:22" x14ac:dyDescent="0.2">
      <c r="A87" s="8" t="s">
        <v>434</v>
      </c>
      <c r="B87" s="8" t="s">
        <v>47</v>
      </c>
      <c r="C87" s="8" t="s">
        <v>435</v>
      </c>
      <c r="D87" s="8" t="s">
        <v>49</v>
      </c>
      <c r="E87" s="8" t="s">
        <v>1195</v>
      </c>
      <c r="F87" s="8" t="s">
        <v>437</v>
      </c>
      <c r="G87" s="8" t="s">
        <v>1</v>
      </c>
      <c r="H87" s="8"/>
      <c r="I87" s="8"/>
      <c r="J87" s="8" t="s">
        <v>438</v>
      </c>
      <c r="K87" s="8" t="s">
        <v>439</v>
      </c>
      <c r="L87" s="8" t="s">
        <v>440</v>
      </c>
      <c r="M87" s="8" t="s">
        <v>441</v>
      </c>
      <c r="N87" s="8" t="s">
        <v>442</v>
      </c>
      <c r="O87" s="8" t="s">
        <v>54</v>
      </c>
      <c r="P87" s="8" t="s">
        <v>55</v>
      </c>
      <c r="Q87" s="8" t="s">
        <v>56</v>
      </c>
      <c r="R87" s="8" t="s">
        <v>47</v>
      </c>
      <c r="S87" s="8" t="s">
        <v>1196</v>
      </c>
      <c r="T87" s="8" t="s">
        <v>1196</v>
      </c>
      <c r="U87" s="8" t="s">
        <v>1196</v>
      </c>
      <c r="V87" s="8"/>
    </row>
    <row r="88" spans="1:22" x14ac:dyDescent="0.2">
      <c r="A88" s="8" t="s">
        <v>443</v>
      </c>
      <c r="B88" s="8" t="s">
        <v>47</v>
      </c>
      <c r="C88" s="8" t="s">
        <v>444</v>
      </c>
      <c r="D88" s="8" t="s">
        <v>49</v>
      </c>
      <c r="E88" s="8" t="s">
        <v>1163</v>
      </c>
      <c r="F88" s="8" t="s">
        <v>240</v>
      </c>
      <c r="G88" s="8" t="s">
        <v>73</v>
      </c>
      <c r="H88" s="8" t="s">
        <v>1197</v>
      </c>
      <c r="I88" s="8"/>
      <c r="J88" s="8" t="s">
        <v>445</v>
      </c>
      <c r="K88" s="8" t="s">
        <v>439</v>
      </c>
      <c r="L88" s="8" t="s">
        <v>304</v>
      </c>
      <c r="M88" s="8" t="s">
        <v>441</v>
      </c>
      <c r="N88" s="8" t="s">
        <v>255</v>
      </c>
      <c r="O88" s="8" t="s">
        <v>54</v>
      </c>
      <c r="P88" s="8" t="s">
        <v>55</v>
      </c>
      <c r="Q88" s="8" t="s">
        <v>56</v>
      </c>
      <c r="R88" s="8" t="s">
        <v>72</v>
      </c>
      <c r="S88" s="8" t="s">
        <v>1196</v>
      </c>
      <c r="T88" s="8" t="s">
        <v>1196</v>
      </c>
      <c r="U88" s="8" t="s">
        <v>1196</v>
      </c>
      <c r="V88" s="8" t="s">
        <v>1165</v>
      </c>
    </row>
    <row r="89" spans="1:22" x14ac:dyDescent="0.2">
      <c r="A89" s="8" t="s">
        <v>446</v>
      </c>
      <c r="B89" s="8" t="s">
        <v>47</v>
      </c>
      <c r="C89" s="8" t="s">
        <v>447</v>
      </c>
      <c r="D89" s="8" t="s">
        <v>49</v>
      </c>
      <c r="E89" s="8" t="s">
        <v>1166</v>
      </c>
      <c r="F89" s="8" t="s">
        <v>240</v>
      </c>
      <c r="G89" s="8" t="s">
        <v>73</v>
      </c>
      <c r="H89" s="8" t="s">
        <v>1197</v>
      </c>
      <c r="I89" s="8"/>
      <c r="J89" s="8" t="s">
        <v>445</v>
      </c>
      <c r="K89" s="8" t="s">
        <v>439</v>
      </c>
      <c r="L89" s="8" t="s">
        <v>304</v>
      </c>
      <c r="M89" s="8" t="s">
        <v>441</v>
      </c>
      <c r="N89" s="8" t="s">
        <v>255</v>
      </c>
      <c r="O89" s="8" t="s">
        <v>54</v>
      </c>
      <c r="P89" s="8" t="s">
        <v>55</v>
      </c>
      <c r="Q89" s="8" t="s">
        <v>56</v>
      </c>
      <c r="R89" s="8" t="s">
        <v>72</v>
      </c>
      <c r="S89" s="8" t="s">
        <v>1196</v>
      </c>
      <c r="T89" s="8" t="s">
        <v>1196</v>
      </c>
      <c r="U89" s="8" t="s">
        <v>1196</v>
      </c>
      <c r="V89" s="8" t="s">
        <v>1165</v>
      </c>
    </row>
    <row r="90" spans="1:22" x14ac:dyDescent="0.2">
      <c r="A90" s="8" t="s">
        <v>448</v>
      </c>
      <c r="B90" s="8" t="s">
        <v>47</v>
      </c>
      <c r="C90" s="8" t="s">
        <v>449</v>
      </c>
      <c r="D90" s="8" t="s">
        <v>49</v>
      </c>
      <c r="E90" s="8" t="s">
        <v>1167</v>
      </c>
      <c r="F90" s="8" t="s">
        <v>347</v>
      </c>
      <c r="G90" s="8" t="s">
        <v>73</v>
      </c>
      <c r="H90" s="8" t="s">
        <v>1198</v>
      </c>
      <c r="I90" s="8" t="s">
        <v>1199</v>
      </c>
      <c r="J90" s="8" t="s">
        <v>438</v>
      </c>
      <c r="K90" s="8" t="s">
        <v>450</v>
      </c>
      <c r="L90" s="8" t="s">
        <v>440</v>
      </c>
      <c r="M90" s="8" t="s">
        <v>451</v>
      </c>
      <c r="N90" s="8" t="s">
        <v>442</v>
      </c>
      <c r="O90" s="8" t="s">
        <v>452</v>
      </c>
      <c r="P90" s="8" t="s">
        <v>55</v>
      </c>
      <c r="Q90" s="8" t="s">
        <v>56</v>
      </c>
      <c r="R90" s="8" t="s">
        <v>72</v>
      </c>
      <c r="S90" s="8" t="s">
        <v>1196</v>
      </c>
      <c r="T90" s="8" t="s">
        <v>1196</v>
      </c>
      <c r="U90" s="8" t="s">
        <v>212</v>
      </c>
      <c r="V90" s="8" t="s">
        <v>1165</v>
      </c>
    </row>
    <row r="91" spans="1:22" x14ac:dyDescent="0.2">
      <c r="A91" s="8" t="s">
        <v>453</v>
      </c>
      <c r="B91" s="8" t="s">
        <v>47</v>
      </c>
      <c r="C91" s="8" t="s">
        <v>454</v>
      </c>
      <c r="D91" s="8" t="s">
        <v>49</v>
      </c>
      <c r="E91" s="8" t="s">
        <v>1170</v>
      </c>
      <c r="F91" s="8" t="s">
        <v>347</v>
      </c>
      <c r="G91" s="8" t="s">
        <v>73</v>
      </c>
      <c r="H91" s="8" t="s">
        <v>1198</v>
      </c>
      <c r="I91" s="8"/>
      <c r="J91" s="8" t="s">
        <v>438</v>
      </c>
      <c r="K91" s="8" t="s">
        <v>450</v>
      </c>
      <c r="L91" s="8" t="s">
        <v>440</v>
      </c>
      <c r="M91" s="8" t="s">
        <v>451</v>
      </c>
      <c r="N91" s="8" t="s">
        <v>354</v>
      </c>
      <c r="O91" s="8" t="s">
        <v>54</v>
      </c>
      <c r="P91" s="8" t="s">
        <v>55</v>
      </c>
      <c r="Q91" s="8" t="s">
        <v>56</v>
      </c>
      <c r="R91" s="8" t="s">
        <v>72</v>
      </c>
      <c r="S91" s="8" t="s">
        <v>1200</v>
      </c>
      <c r="T91" s="8" t="s">
        <v>1200</v>
      </c>
      <c r="U91" s="8" t="s">
        <v>1200</v>
      </c>
      <c r="V91" s="8" t="s">
        <v>1165</v>
      </c>
    </row>
    <row r="92" spans="1:22" x14ac:dyDescent="0.2">
      <c r="A92" s="8" t="s">
        <v>455</v>
      </c>
      <c r="B92" s="8" t="s">
        <v>47</v>
      </c>
      <c r="C92" s="8" t="s">
        <v>456</v>
      </c>
      <c r="D92" s="8" t="s">
        <v>49</v>
      </c>
      <c r="E92" s="8" t="s">
        <v>1172</v>
      </c>
      <c r="F92" s="8" t="s">
        <v>347</v>
      </c>
      <c r="G92" s="8" t="s">
        <v>73</v>
      </c>
      <c r="H92" s="8" t="s">
        <v>1198</v>
      </c>
      <c r="I92" s="8"/>
      <c r="J92" s="8" t="s">
        <v>438</v>
      </c>
      <c r="K92" s="8" t="s">
        <v>450</v>
      </c>
      <c r="L92" s="8" t="s">
        <v>440</v>
      </c>
      <c r="M92" s="8" t="s">
        <v>451</v>
      </c>
      <c r="N92" s="8" t="s">
        <v>354</v>
      </c>
      <c r="O92" s="8" t="s">
        <v>54</v>
      </c>
      <c r="P92" s="8" t="s">
        <v>55</v>
      </c>
      <c r="Q92" s="8" t="s">
        <v>56</v>
      </c>
      <c r="R92" s="8" t="s">
        <v>72</v>
      </c>
      <c r="S92" s="8" t="s">
        <v>1200</v>
      </c>
      <c r="T92" s="8" t="s">
        <v>1200</v>
      </c>
      <c r="U92" s="8" t="s">
        <v>1200</v>
      </c>
      <c r="V92" s="8" t="s">
        <v>1165</v>
      </c>
    </row>
    <row r="93" spans="1:22" x14ac:dyDescent="0.2">
      <c r="A93" s="8" t="s">
        <v>457</v>
      </c>
      <c r="B93" s="8" t="s">
        <v>47</v>
      </c>
      <c r="C93" s="8" t="s">
        <v>458</v>
      </c>
      <c r="D93" s="8" t="s">
        <v>49</v>
      </c>
      <c r="E93" s="8" t="s">
        <v>1201</v>
      </c>
      <c r="F93" s="8" t="s">
        <v>460</v>
      </c>
      <c r="G93" s="8" t="s">
        <v>1</v>
      </c>
      <c r="H93" s="8" t="s">
        <v>461</v>
      </c>
      <c r="I93" s="8" t="s">
        <v>1202</v>
      </c>
      <c r="J93" s="8" t="s">
        <v>371</v>
      </c>
      <c r="K93" s="8" t="s">
        <v>462</v>
      </c>
      <c r="L93" s="8" t="s">
        <v>92</v>
      </c>
      <c r="M93" s="8" t="s">
        <v>463</v>
      </c>
      <c r="N93" s="8" t="s">
        <v>92</v>
      </c>
      <c r="O93" s="8" t="s">
        <v>463</v>
      </c>
      <c r="P93" s="8" t="s">
        <v>55</v>
      </c>
      <c r="Q93" s="8" t="s">
        <v>56</v>
      </c>
      <c r="R93" s="8" t="s">
        <v>72</v>
      </c>
      <c r="S93" s="8" t="s">
        <v>212</v>
      </c>
      <c r="T93" s="8" t="s">
        <v>212</v>
      </c>
      <c r="U93" s="8" t="s">
        <v>212</v>
      </c>
      <c r="V93" s="8" t="s">
        <v>1134</v>
      </c>
    </row>
    <row r="94" spans="1:22" x14ac:dyDescent="0.2">
      <c r="A94" s="8" t="s">
        <v>464</v>
      </c>
      <c r="B94" s="8" t="s">
        <v>47</v>
      </c>
      <c r="C94" s="8" t="s">
        <v>465</v>
      </c>
      <c r="D94" s="8" t="s">
        <v>49</v>
      </c>
      <c r="E94" s="8" t="s">
        <v>1203</v>
      </c>
      <c r="F94" s="8" t="s">
        <v>467</v>
      </c>
      <c r="G94" s="8" t="s">
        <v>57</v>
      </c>
      <c r="H94" s="8"/>
      <c r="I94" s="8"/>
      <c r="J94" s="8" t="s">
        <v>290</v>
      </c>
      <c r="K94" s="8" t="s">
        <v>468</v>
      </c>
      <c r="L94" s="8" t="s">
        <v>292</v>
      </c>
      <c r="M94" s="8" t="s">
        <v>469</v>
      </c>
      <c r="N94" s="8" t="s">
        <v>294</v>
      </c>
      <c r="O94" s="8" t="s">
        <v>54</v>
      </c>
      <c r="P94" s="8" t="s">
        <v>55</v>
      </c>
      <c r="Q94" s="8" t="s">
        <v>56</v>
      </c>
      <c r="R94" s="8" t="s">
        <v>47</v>
      </c>
      <c r="S94" s="8" t="s">
        <v>1126</v>
      </c>
      <c r="T94" s="8" t="s">
        <v>1204</v>
      </c>
      <c r="U94" s="8" t="s">
        <v>1204</v>
      </c>
      <c r="V94" s="8"/>
    </row>
    <row r="95" spans="1:22" x14ac:dyDescent="0.2">
      <c r="A95" s="8" t="s">
        <v>470</v>
      </c>
      <c r="B95" s="8" t="s">
        <v>47</v>
      </c>
      <c r="C95" s="8" t="s">
        <v>471</v>
      </c>
      <c r="D95" s="8" t="s">
        <v>49</v>
      </c>
      <c r="E95" s="8" t="s">
        <v>1205</v>
      </c>
      <c r="F95" s="8" t="s">
        <v>194</v>
      </c>
      <c r="G95" s="8" t="s">
        <v>1</v>
      </c>
      <c r="H95" s="8" t="s">
        <v>457</v>
      </c>
      <c r="I95" s="8" t="s">
        <v>1206</v>
      </c>
      <c r="J95" s="8" t="s">
        <v>473</v>
      </c>
      <c r="K95" s="8" t="s">
        <v>474</v>
      </c>
      <c r="L95" s="8" t="s">
        <v>475</v>
      </c>
      <c r="M95" s="8" t="s">
        <v>476</v>
      </c>
      <c r="N95" s="8" t="s">
        <v>475</v>
      </c>
      <c r="O95" s="8" t="s">
        <v>476</v>
      </c>
      <c r="P95" s="8" t="s">
        <v>55</v>
      </c>
      <c r="Q95" s="8" t="s">
        <v>56</v>
      </c>
      <c r="R95" s="8" t="s">
        <v>72</v>
      </c>
      <c r="S95" s="8" t="s">
        <v>212</v>
      </c>
      <c r="T95" s="8" t="s">
        <v>212</v>
      </c>
      <c r="U95" s="8" t="s">
        <v>212</v>
      </c>
      <c r="V95" s="8" t="s">
        <v>1129</v>
      </c>
    </row>
    <row r="96" spans="1:22" x14ac:dyDescent="0.2">
      <c r="A96" s="8" t="s">
        <v>477</v>
      </c>
      <c r="B96" s="8" t="s">
        <v>47</v>
      </c>
      <c r="C96" s="8" t="s">
        <v>478</v>
      </c>
      <c r="D96" s="8" t="s">
        <v>49</v>
      </c>
      <c r="E96" s="8" t="s">
        <v>1207</v>
      </c>
      <c r="F96" s="8" t="s">
        <v>480</v>
      </c>
      <c r="G96" s="8" t="s">
        <v>1</v>
      </c>
      <c r="H96" s="8"/>
      <c r="I96" s="8"/>
      <c r="J96" s="8" t="s">
        <v>266</v>
      </c>
      <c r="K96" s="8" t="s">
        <v>481</v>
      </c>
      <c r="L96" s="8" t="s">
        <v>267</v>
      </c>
      <c r="M96" s="8" t="s">
        <v>482</v>
      </c>
      <c r="N96" s="8" t="s">
        <v>228</v>
      </c>
      <c r="O96" s="8" t="s">
        <v>54</v>
      </c>
      <c r="P96" s="8" t="s">
        <v>55</v>
      </c>
      <c r="Q96" s="8" t="s">
        <v>56</v>
      </c>
      <c r="R96" s="8" t="s">
        <v>47</v>
      </c>
      <c r="S96" s="8" t="s">
        <v>1126</v>
      </c>
      <c r="T96" s="8" t="s">
        <v>1208</v>
      </c>
      <c r="U96" s="8" t="s">
        <v>1208</v>
      </c>
      <c r="V96" s="8"/>
    </row>
    <row r="97" spans="1:22" x14ac:dyDescent="0.2">
      <c r="A97" s="8" t="s">
        <v>483</v>
      </c>
      <c r="B97" s="8" t="s">
        <v>47</v>
      </c>
      <c r="C97" s="8" t="s">
        <v>484</v>
      </c>
      <c r="D97" s="8" t="s">
        <v>49</v>
      </c>
      <c r="E97" s="8" t="s">
        <v>1132</v>
      </c>
      <c r="F97" s="8" t="s">
        <v>194</v>
      </c>
      <c r="G97" s="8" t="s">
        <v>73</v>
      </c>
      <c r="H97" s="8" t="s">
        <v>485</v>
      </c>
      <c r="I97" s="8"/>
      <c r="J97" s="8" t="s">
        <v>486</v>
      </c>
      <c r="K97" s="8" t="s">
        <v>481</v>
      </c>
      <c r="L97" s="8" t="s">
        <v>487</v>
      </c>
      <c r="M97" s="8" t="s">
        <v>482</v>
      </c>
      <c r="N97" s="8" t="s">
        <v>197</v>
      </c>
      <c r="O97" s="8" t="s">
        <v>54</v>
      </c>
      <c r="P97" s="8" t="s">
        <v>55</v>
      </c>
      <c r="Q97" s="8" t="s">
        <v>56</v>
      </c>
      <c r="R97" s="8" t="s">
        <v>72</v>
      </c>
      <c r="S97" s="8" t="s">
        <v>1208</v>
      </c>
      <c r="T97" s="8" t="s">
        <v>1208</v>
      </c>
      <c r="U97" s="8" t="s">
        <v>1208</v>
      </c>
      <c r="V97" s="8" t="s">
        <v>1134</v>
      </c>
    </row>
    <row r="98" spans="1:22" x14ac:dyDescent="0.2">
      <c r="A98" s="8" t="s">
        <v>488</v>
      </c>
      <c r="B98" s="8" t="s">
        <v>47</v>
      </c>
      <c r="C98" s="8" t="s">
        <v>489</v>
      </c>
      <c r="D98" s="8" t="s">
        <v>49</v>
      </c>
      <c r="E98" s="8" t="s">
        <v>1135</v>
      </c>
      <c r="F98" s="8" t="s">
        <v>240</v>
      </c>
      <c r="G98" s="8" t="s">
        <v>73</v>
      </c>
      <c r="H98" s="8" t="s">
        <v>1209</v>
      </c>
      <c r="I98" s="8" t="s">
        <v>490</v>
      </c>
      <c r="J98" s="8" t="s">
        <v>491</v>
      </c>
      <c r="K98" s="8" t="s">
        <v>492</v>
      </c>
      <c r="L98" s="8" t="s">
        <v>493</v>
      </c>
      <c r="M98" s="8" t="s">
        <v>494</v>
      </c>
      <c r="N98" s="8" t="s">
        <v>244</v>
      </c>
      <c r="O98" s="8" t="s">
        <v>245</v>
      </c>
      <c r="P98" s="8" t="s">
        <v>55</v>
      </c>
      <c r="Q98" s="8" t="s">
        <v>56</v>
      </c>
      <c r="R98" s="8" t="s">
        <v>72</v>
      </c>
      <c r="S98" s="8" t="s">
        <v>1208</v>
      </c>
      <c r="T98" s="8" t="s">
        <v>1208</v>
      </c>
      <c r="U98" s="8" t="s">
        <v>212</v>
      </c>
      <c r="V98" s="8" t="s">
        <v>1129</v>
      </c>
    </row>
    <row r="99" spans="1:22" x14ac:dyDescent="0.2">
      <c r="A99" s="8" t="s">
        <v>495</v>
      </c>
      <c r="B99" s="8" t="s">
        <v>47</v>
      </c>
      <c r="C99" s="8" t="s">
        <v>496</v>
      </c>
      <c r="D99" s="8" t="s">
        <v>49</v>
      </c>
      <c r="E99" s="8" t="s">
        <v>1137</v>
      </c>
      <c r="F99" s="8" t="s">
        <v>194</v>
      </c>
      <c r="G99" s="8" t="s">
        <v>73</v>
      </c>
      <c r="H99" s="8" t="s">
        <v>1209</v>
      </c>
      <c r="I99" s="8" t="s">
        <v>497</v>
      </c>
      <c r="J99" s="8" t="s">
        <v>491</v>
      </c>
      <c r="K99" s="8" t="s">
        <v>498</v>
      </c>
      <c r="L99" s="8" t="s">
        <v>493</v>
      </c>
      <c r="M99" s="8" t="s">
        <v>499</v>
      </c>
      <c r="N99" s="8" t="s">
        <v>244</v>
      </c>
      <c r="O99" s="8" t="s">
        <v>250</v>
      </c>
      <c r="P99" s="8" t="s">
        <v>55</v>
      </c>
      <c r="Q99" s="8" t="s">
        <v>56</v>
      </c>
      <c r="R99" s="8" t="s">
        <v>72</v>
      </c>
      <c r="S99" s="8" t="s">
        <v>1208</v>
      </c>
      <c r="T99" s="8" t="s">
        <v>1208</v>
      </c>
      <c r="U99" s="8" t="s">
        <v>212</v>
      </c>
      <c r="V99" s="8" t="s">
        <v>1129</v>
      </c>
    </row>
    <row r="100" spans="1:22" x14ac:dyDescent="0.2">
      <c r="A100" s="8" t="s">
        <v>500</v>
      </c>
      <c r="B100" s="8" t="s">
        <v>47</v>
      </c>
      <c r="C100" s="8" t="s">
        <v>501</v>
      </c>
      <c r="D100" s="8" t="s">
        <v>49</v>
      </c>
      <c r="E100" s="8" t="s">
        <v>1138</v>
      </c>
      <c r="F100" s="8" t="s">
        <v>194</v>
      </c>
      <c r="G100" s="8" t="s">
        <v>73</v>
      </c>
      <c r="H100" s="8" t="s">
        <v>495</v>
      </c>
      <c r="I100" s="8" t="s">
        <v>490</v>
      </c>
      <c r="J100" s="8" t="s">
        <v>502</v>
      </c>
      <c r="K100" s="8" t="s">
        <v>492</v>
      </c>
      <c r="L100" s="8" t="s">
        <v>503</v>
      </c>
      <c r="M100" s="8" t="s">
        <v>494</v>
      </c>
      <c r="N100" s="8" t="s">
        <v>255</v>
      </c>
      <c r="O100" s="8" t="s">
        <v>245</v>
      </c>
      <c r="P100" s="8" t="s">
        <v>55</v>
      </c>
      <c r="Q100" s="8" t="s">
        <v>56</v>
      </c>
      <c r="R100" s="8" t="s">
        <v>72</v>
      </c>
      <c r="S100" s="8" t="s">
        <v>1208</v>
      </c>
      <c r="T100" s="8" t="s">
        <v>1208</v>
      </c>
      <c r="U100" s="8" t="s">
        <v>212</v>
      </c>
      <c r="V100" s="8" t="s">
        <v>1134</v>
      </c>
    </row>
    <row r="101" spans="1:22" x14ac:dyDescent="0.2">
      <c r="A101" s="8" t="s">
        <v>504</v>
      </c>
      <c r="B101" s="8" t="s">
        <v>47</v>
      </c>
      <c r="C101" s="8" t="s">
        <v>505</v>
      </c>
      <c r="D101" s="8" t="s">
        <v>49</v>
      </c>
      <c r="E101" s="8" t="s">
        <v>1139</v>
      </c>
      <c r="F101" s="8" t="s">
        <v>194</v>
      </c>
      <c r="G101" s="8" t="s">
        <v>73</v>
      </c>
      <c r="H101" s="8" t="s">
        <v>495</v>
      </c>
      <c r="I101" s="8" t="s">
        <v>490</v>
      </c>
      <c r="J101" s="8" t="s">
        <v>502</v>
      </c>
      <c r="K101" s="8" t="s">
        <v>492</v>
      </c>
      <c r="L101" s="8" t="s">
        <v>503</v>
      </c>
      <c r="M101" s="8" t="s">
        <v>494</v>
      </c>
      <c r="N101" s="8" t="s">
        <v>255</v>
      </c>
      <c r="O101" s="8" t="s">
        <v>245</v>
      </c>
      <c r="P101" s="8" t="s">
        <v>55</v>
      </c>
      <c r="Q101" s="8" t="s">
        <v>56</v>
      </c>
      <c r="R101" s="8" t="s">
        <v>72</v>
      </c>
      <c r="S101" s="8" t="s">
        <v>1208</v>
      </c>
      <c r="T101" s="8" t="s">
        <v>1208</v>
      </c>
      <c r="U101" s="8" t="s">
        <v>212</v>
      </c>
      <c r="V101" s="8" t="s">
        <v>1129</v>
      </c>
    </row>
    <row r="102" spans="1:22" x14ac:dyDescent="0.2">
      <c r="A102" s="8" t="s">
        <v>506</v>
      </c>
      <c r="B102" s="8" t="s">
        <v>47</v>
      </c>
      <c r="C102" s="8" t="s">
        <v>507</v>
      </c>
      <c r="D102" s="8" t="s">
        <v>49</v>
      </c>
      <c r="E102" s="8" t="s">
        <v>1140</v>
      </c>
      <c r="F102" s="8" t="s">
        <v>194</v>
      </c>
      <c r="G102" s="8" t="s">
        <v>73</v>
      </c>
      <c r="H102" s="8" t="s">
        <v>485</v>
      </c>
      <c r="I102" s="8"/>
      <c r="J102" s="8" t="s">
        <v>486</v>
      </c>
      <c r="K102" s="8" t="s">
        <v>481</v>
      </c>
      <c r="L102" s="8" t="s">
        <v>487</v>
      </c>
      <c r="M102" s="8" t="s">
        <v>482</v>
      </c>
      <c r="N102" s="8" t="s">
        <v>197</v>
      </c>
      <c r="O102" s="8" t="s">
        <v>54</v>
      </c>
      <c r="P102" s="8" t="s">
        <v>55</v>
      </c>
      <c r="Q102" s="8" t="s">
        <v>56</v>
      </c>
      <c r="R102" s="8" t="s">
        <v>72</v>
      </c>
      <c r="S102" s="8" t="s">
        <v>1208</v>
      </c>
      <c r="T102" s="8" t="s">
        <v>1208</v>
      </c>
      <c r="U102" s="8" t="s">
        <v>1208</v>
      </c>
      <c r="V102" s="8" t="s">
        <v>1129</v>
      </c>
    </row>
    <row r="103" spans="1:22" x14ac:dyDescent="0.2">
      <c r="A103" s="8" t="s">
        <v>508</v>
      </c>
      <c r="B103" s="8" t="s">
        <v>47</v>
      </c>
      <c r="C103" s="8" t="s">
        <v>509</v>
      </c>
      <c r="D103" s="8" t="s">
        <v>49</v>
      </c>
      <c r="E103" s="8" t="s">
        <v>1141</v>
      </c>
      <c r="F103" s="8" t="s">
        <v>265</v>
      </c>
      <c r="G103" s="8" t="s">
        <v>73</v>
      </c>
      <c r="H103" s="8"/>
      <c r="I103" s="8"/>
      <c r="J103" s="8" t="s">
        <v>266</v>
      </c>
      <c r="K103" s="8" t="s">
        <v>217</v>
      </c>
      <c r="L103" s="8" t="s">
        <v>267</v>
      </c>
      <c r="M103" s="8" t="s">
        <v>218</v>
      </c>
      <c r="N103" s="8" t="s">
        <v>228</v>
      </c>
      <c r="O103" s="8" t="s">
        <v>54</v>
      </c>
      <c r="P103" s="8" t="s">
        <v>55</v>
      </c>
      <c r="Q103" s="8" t="s">
        <v>56</v>
      </c>
      <c r="R103" s="8" t="s">
        <v>47</v>
      </c>
      <c r="S103" s="8" t="s">
        <v>1126</v>
      </c>
      <c r="T103" s="8" t="s">
        <v>1126</v>
      </c>
      <c r="U103" s="8" t="s">
        <v>1126</v>
      </c>
      <c r="V103" s="8"/>
    </row>
    <row r="104" spans="1:22" x14ac:dyDescent="0.2">
      <c r="A104" s="8" t="s">
        <v>510</v>
      </c>
      <c r="B104" s="8" t="s">
        <v>47</v>
      </c>
      <c r="C104" s="8" t="s">
        <v>511</v>
      </c>
      <c r="D104" s="8" t="s">
        <v>49</v>
      </c>
      <c r="E104" s="8" t="s">
        <v>1142</v>
      </c>
      <c r="F104" s="8" t="s">
        <v>83</v>
      </c>
      <c r="G104" s="8" t="s">
        <v>80</v>
      </c>
      <c r="H104" s="8" t="s">
        <v>1210</v>
      </c>
      <c r="I104" s="8" t="s">
        <v>1211</v>
      </c>
      <c r="J104" s="8" t="s">
        <v>270</v>
      </c>
      <c r="K104" s="8" t="s">
        <v>271</v>
      </c>
      <c r="L104" s="8" t="s">
        <v>272</v>
      </c>
      <c r="M104" s="8" t="s">
        <v>273</v>
      </c>
      <c r="N104" s="8" t="s">
        <v>274</v>
      </c>
      <c r="O104" s="8" t="s">
        <v>275</v>
      </c>
      <c r="P104" s="8" t="s">
        <v>55</v>
      </c>
      <c r="Q104" s="8" t="s">
        <v>56</v>
      </c>
      <c r="R104" s="8" t="s">
        <v>72</v>
      </c>
      <c r="S104" s="8" t="s">
        <v>1126</v>
      </c>
      <c r="T104" s="8" t="s">
        <v>1126</v>
      </c>
      <c r="U104" s="8" t="s">
        <v>212</v>
      </c>
      <c r="V104" s="8" t="s">
        <v>1145</v>
      </c>
    </row>
    <row r="105" spans="1:22" x14ac:dyDescent="0.2">
      <c r="A105" s="8" t="s">
        <v>512</v>
      </c>
      <c r="B105" s="8" t="s">
        <v>47</v>
      </c>
      <c r="C105" s="8" t="s">
        <v>513</v>
      </c>
      <c r="D105" s="8" t="s">
        <v>49</v>
      </c>
      <c r="E105" s="8" t="s">
        <v>1146</v>
      </c>
      <c r="F105" s="8" t="s">
        <v>83</v>
      </c>
      <c r="G105" s="8" t="s">
        <v>80</v>
      </c>
      <c r="H105" s="8" t="s">
        <v>514</v>
      </c>
      <c r="I105" s="8" t="s">
        <v>1212</v>
      </c>
      <c r="J105" s="8" t="s">
        <v>266</v>
      </c>
      <c r="K105" s="8" t="s">
        <v>279</v>
      </c>
      <c r="L105" s="8" t="s">
        <v>267</v>
      </c>
      <c r="M105" s="8" t="s">
        <v>280</v>
      </c>
      <c r="N105" s="8" t="s">
        <v>228</v>
      </c>
      <c r="O105" s="8" t="s">
        <v>281</v>
      </c>
      <c r="P105" s="8" t="s">
        <v>55</v>
      </c>
      <c r="Q105" s="8" t="s">
        <v>56</v>
      </c>
      <c r="R105" s="8" t="s">
        <v>72</v>
      </c>
      <c r="S105" s="8" t="s">
        <v>1126</v>
      </c>
      <c r="T105" s="8" t="s">
        <v>1126</v>
      </c>
      <c r="U105" s="8" t="s">
        <v>212</v>
      </c>
      <c r="V105" s="8" t="s">
        <v>1145</v>
      </c>
    </row>
    <row r="106" spans="1:22" x14ac:dyDescent="0.2">
      <c r="A106" s="8" t="s">
        <v>515</v>
      </c>
      <c r="B106" s="8" t="s">
        <v>47</v>
      </c>
      <c r="C106" s="8" t="s">
        <v>516</v>
      </c>
      <c r="D106" s="8" t="s">
        <v>49</v>
      </c>
      <c r="E106" s="8" t="s">
        <v>1148</v>
      </c>
      <c r="F106" s="8" t="s">
        <v>83</v>
      </c>
      <c r="G106" s="8" t="s">
        <v>80</v>
      </c>
      <c r="H106" s="8" t="s">
        <v>1212</v>
      </c>
      <c r="I106" s="8"/>
      <c r="J106" s="8" t="s">
        <v>284</v>
      </c>
      <c r="K106" s="8" t="s">
        <v>217</v>
      </c>
      <c r="L106" s="8" t="s">
        <v>285</v>
      </c>
      <c r="M106" s="8" t="s">
        <v>218</v>
      </c>
      <c r="N106" s="8" t="s">
        <v>114</v>
      </c>
      <c r="O106" s="8" t="s">
        <v>54</v>
      </c>
      <c r="P106" s="8" t="s">
        <v>55</v>
      </c>
      <c r="Q106" s="8" t="s">
        <v>56</v>
      </c>
      <c r="R106" s="8" t="s">
        <v>72</v>
      </c>
      <c r="S106" s="8" t="s">
        <v>1126</v>
      </c>
      <c r="T106" s="8" t="s">
        <v>1126</v>
      </c>
      <c r="U106" s="8" t="s">
        <v>1126</v>
      </c>
      <c r="V106" s="8" t="s">
        <v>1145</v>
      </c>
    </row>
    <row r="107" spans="1:22" x14ac:dyDescent="0.2">
      <c r="A107" s="8" t="s">
        <v>517</v>
      </c>
      <c r="B107" s="8" t="s">
        <v>47</v>
      </c>
      <c r="C107" s="8" t="s">
        <v>518</v>
      </c>
      <c r="D107" s="8" t="s">
        <v>49</v>
      </c>
      <c r="E107" s="8" t="s">
        <v>1213</v>
      </c>
      <c r="F107" s="8" t="s">
        <v>289</v>
      </c>
      <c r="G107" s="8" t="s">
        <v>1</v>
      </c>
      <c r="H107" s="8"/>
      <c r="I107" s="8"/>
      <c r="J107" s="8" t="s">
        <v>290</v>
      </c>
      <c r="K107" s="8" t="s">
        <v>291</v>
      </c>
      <c r="L107" s="8" t="s">
        <v>292</v>
      </c>
      <c r="M107" s="8" t="s">
        <v>293</v>
      </c>
      <c r="N107" s="8" t="s">
        <v>294</v>
      </c>
      <c r="O107" s="8" t="s">
        <v>54</v>
      </c>
      <c r="P107" s="8" t="s">
        <v>55</v>
      </c>
      <c r="Q107" s="8" t="s">
        <v>56</v>
      </c>
      <c r="R107" s="8" t="s">
        <v>47</v>
      </c>
      <c r="S107" s="8" t="s">
        <v>1126</v>
      </c>
      <c r="T107" s="8" t="s">
        <v>1150</v>
      </c>
      <c r="U107" s="8" t="s">
        <v>1126</v>
      </c>
      <c r="V107" s="8"/>
    </row>
    <row r="108" spans="1:22" x14ac:dyDescent="0.2">
      <c r="A108" s="8" t="s">
        <v>520</v>
      </c>
      <c r="B108" s="8" t="s">
        <v>47</v>
      </c>
      <c r="C108" s="8" t="s">
        <v>521</v>
      </c>
      <c r="D108" s="8" t="s">
        <v>49</v>
      </c>
      <c r="E108" s="8" t="s">
        <v>1151</v>
      </c>
      <c r="F108" s="8" t="s">
        <v>289</v>
      </c>
      <c r="G108" s="8" t="s">
        <v>73</v>
      </c>
      <c r="H108" s="8"/>
      <c r="I108" s="8"/>
      <c r="J108" s="8" t="s">
        <v>290</v>
      </c>
      <c r="K108" s="8" t="s">
        <v>291</v>
      </c>
      <c r="L108" s="8" t="s">
        <v>292</v>
      </c>
      <c r="M108" s="8" t="s">
        <v>293</v>
      </c>
      <c r="N108" s="8" t="s">
        <v>294</v>
      </c>
      <c r="O108" s="8" t="s">
        <v>54</v>
      </c>
      <c r="P108" s="8" t="s">
        <v>55</v>
      </c>
      <c r="Q108" s="8" t="s">
        <v>56</v>
      </c>
      <c r="R108" s="8" t="s">
        <v>47</v>
      </c>
      <c r="S108" s="8" t="s">
        <v>1126</v>
      </c>
      <c r="T108" s="8" t="s">
        <v>1150</v>
      </c>
      <c r="U108" s="8" t="s">
        <v>1126</v>
      </c>
      <c r="V108" s="8"/>
    </row>
    <row r="109" spans="1:22" x14ac:dyDescent="0.2">
      <c r="A109" s="8" t="s">
        <v>522</v>
      </c>
      <c r="B109" s="8" t="s">
        <v>47</v>
      </c>
      <c r="C109" s="8" t="s">
        <v>523</v>
      </c>
      <c r="D109" s="8" t="s">
        <v>49</v>
      </c>
      <c r="E109" s="8" t="s">
        <v>1142</v>
      </c>
      <c r="F109" s="8" t="s">
        <v>300</v>
      </c>
      <c r="G109" s="8" t="s">
        <v>80</v>
      </c>
      <c r="H109" s="8" t="s">
        <v>1214</v>
      </c>
      <c r="I109" s="8" t="s">
        <v>1215</v>
      </c>
      <c r="J109" s="8" t="s">
        <v>301</v>
      </c>
      <c r="K109" s="8" t="s">
        <v>302</v>
      </c>
      <c r="L109" s="8" t="s">
        <v>303</v>
      </c>
      <c r="M109" s="8" t="s">
        <v>304</v>
      </c>
      <c r="N109" s="8" t="s">
        <v>305</v>
      </c>
      <c r="O109" s="8" t="s">
        <v>306</v>
      </c>
      <c r="P109" s="8" t="s">
        <v>55</v>
      </c>
      <c r="Q109" s="8" t="s">
        <v>56</v>
      </c>
      <c r="R109" s="8" t="s">
        <v>72</v>
      </c>
      <c r="S109" s="8" t="s">
        <v>1150</v>
      </c>
      <c r="T109" s="8" t="s">
        <v>1150</v>
      </c>
      <c r="U109" s="8" t="s">
        <v>212</v>
      </c>
      <c r="V109" s="8" t="s">
        <v>1145</v>
      </c>
    </row>
    <row r="110" spans="1:22" x14ac:dyDescent="0.2">
      <c r="A110" s="8" t="s">
        <v>524</v>
      </c>
      <c r="B110" s="8" t="s">
        <v>47</v>
      </c>
      <c r="C110" s="8" t="s">
        <v>525</v>
      </c>
      <c r="D110" s="8" t="s">
        <v>49</v>
      </c>
      <c r="E110" s="8" t="s">
        <v>1146</v>
      </c>
      <c r="F110" s="8" t="s">
        <v>300</v>
      </c>
      <c r="G110" s="8" t="s">
        <v>80</v>
      </c>
      <c r="H110" s="8" t="s">
        <v>219</v>
      </c>
      <c r="I110" s="8" t="s">
        <v>1216</v>
      </c>
      <c r="J110" s="8" t="s">
        <v>290</v>
      </c>
      <c r="K110" s="8" t="s">
        <v>309</v>
      </c>
      <c r="L110" s="8" t="s">
        <v>292</v>
      </c>
      <c r="M110" s="8" t="s">
        <v>310</v>
      </c>
      <c r="N110" s="8" t="s">
        <v>294</v>
      </c>
      <c r="O110" s="8" t="s">
        <v>311</v>
      </c>
      <c r="P110" s="8" t="s">
        <v>55</v>
      </c>
      <c r="Q110" s="8" t="s">
        <v>56</v>
      </c>
      <c r="R110" s="8" t="s">
        <v>72</v>
      </c>
      <c r="S110" s="8" t="s">
        <v>1126</v>
      </c>
      <c r="T110" s="8" t="s">
        <v>1126</v>
      </c>
      <c r="U110" s="8" t="s">
        <v>212</v>
      </c>
      <c r="V110" s="8" t="s">
        <v>1145</v>
      </c>
    </row>
    <row r="111" spans="1:22" x14ac:dyDescent="0.2">
      <c r="A111" s="8" t="s">
        <v>526</v>
      </c>
      <c r="B111" s="8" t="s">
        <v>47</v>
      </c>
      <c r="C111" s="8" t="s">
        <v>527</v>
      </c>
      <c r="D111" s="8" t="s">
        <v>49</v>
      </c>
      <c r="E111" s="8" t="s">
        <v>1148</v>
      </c>
      <c r="F111" s="8" t="s">
        <v>300</v>
      </c>
      <c r="G111" s="8" t="s">
        <v>80</v>
      </c>
      <c r="H111" s="8" t="s">
        <v>1217</v>
      </c>
      <c r="I111" s="8"/>
      <c r="J111" s="8" t="s">
        <v>314</v>
      </c>
      <c r="K111" s="8" t="s">
        <v>291</v>
      </c>
      <c r="L111" s="8" t="s">
        <v>315</v>
      </c>
      <c r="M111" s="8" t="s">
        <v>293</v>
      </c>
      <c r="N111" s="8" t="s">
        <v>316</v>
      </c>
      <c r="O111" s="8" t="s">
        <v>54</v>
      </c>
      <c r="P111" s="8" t="s">
        <v>55</v>
      </c>
      <c r="Q111" s="8" t="s">
        <v>56</v>
      </c>
      <c r="R111" s="8" t="s">
        <v>72</v>
      </c>
      <c r="S111" s="8" t="s">
        <v>1150</v>
      </c>
      <c r="T111" s="8" t="s">
        <v>1150</v>
      </c>
      <c r="U111" s="8" t="s">
        <v>1150</v>
      </c>
      <c r="V111" s="8" t="s">
        <v>1145</v>
      </c>
    </row>
    <row r="112" spans="1:22" x14ac:dyDescent="0.2">
      <c r="A112" s="8" t="s">
        <v>528</v>
      </c>
      <c r="B112" s="8" t="s">
        <v>47</v>
      </c>
      <c r="C112" s="8" t="s">
        <v>529</v>
      </c>
      <c r="D112" s="8" t="s">
        <v>49</v>
      </c>
      <c r="E112" s="8" t="s">
        <v>1156</v>
      </c>
      <c r="F112" s="8" t="s">
        <v>289</v>
      </c>
      <c r="G112" s="8" t="s">
        <v>73</v>
      </c>
      <c r="H112" s="8"/>
      <c r="I112" s="8"/>
      <c r="J112" s="8" t="s">
        <v>290</v>
      </c>
      <c r="K112" s="8" t="s">
        <v>291</v>
      </c>
      <c r="L112" s="8" t="s">
        <v>292</v>
      </c>
      <c r="M112" s="8" t="s">
        <v>293</v>
      </c>
      <c r="N112" s="8" t="s">
        <v>294</v>
      </c>
      <c r="O112" s="8" t="s">
        <v>54</v>
      </c>
      <c r="P112" s="8" t="s">
        <v>55</v>
      </c>
      <c r="Q112" s="8" t="s">
        <v>56</v>
      </c>
      <c r="R112" s="8" t="s">
        <v>47</v>
      </c>
      <c r="S112" s="8" t="s">
        <v>1126</v>
      </c>
      <c r="T112" s="8" t="s">
        <v>1150</v>
      </c>
      <c r="U112" s="8" t="s">
        <v>1126</v>
      </c>
      <c r="V112" s="8"/>
    </row>
    <row r="113" spans="1:22" x14ac:dyDescent="0.2">
      <c r="A113" s="8" t="s">
        <v>531</v>
      </c>
      <c r="B113" s="8" t="s">
        <v>47</v>
      </c>
      <c r="C113" s="8" t="s">
        <v>532</v>
      </c>
      <c r="D113" s="8" t="s">
        <v>49</v>
      </c>
      <c r="E113" s="8" t="s">
        <v>1142</v>
      </c>
      <c r="F113" s="8" t="s">
        <v>300</v>
      </c>
      <c r="G113" s="8" t="s">
        <v>80</v>
      </c>
      <c r="H113" s="8" t="s">
        <v>1218</v>
      </c>
      <c r="I113" s="8" t="s">
        <v>1219</v>
      </c>
      <c r="J113" s="8" t="s">
        <v>301</v>
      </c>
      <c r="K113" s="8" t="s">
        <v>302</v>
      </c>
      <c r="L113" s="8" t="s">
        <v>303</v>
      </c>
      <c r="M113" s="8" t="s">
        <v>304</v>
      </c>
      <c r="N113" s="8" t="s">
        <v>305</v>
      </c>
      <c r="O113" s="8" t="s">
        <v>306</v>
      </c>
      <c r="P113" s="8" t="s">
        <v>55</v>
      </c>
      <c r="Q113" s="8" t="s">
        <v>56</v>
      </c>
      <c r="R113" s="8" t="s">
        <v>72</v>
      </c>
      <c r="S113" s="8" t="s">
        <v>1150</v>
      </c>
      <c r="T113" s="8" t="s">
        <v>1150</v>
      </c>
      <c r="U113" s="8" t="s">
        <v>212</v>
      </c>
      <c r="V113" s="8" t="s">
        <v>1145</v>
      </c>
    </row>
    <row r="114" spans="1:22" x14ac:dyDescent="0.2">
      <c r="A114" s="8" t="s">
        <v>533</v>
      </c>
      <c r="B114" s="8" t="s">
        <v>47</v>
      </c>
      <c r="C114" s="8" t="s">
        <v>534</v>
      </c>
      <c r="D114" s="8" t="s">
        <v>49</v>
      </c>
      <c r="E114" s="8" t="s">
        <v>1146</v>
      </c>
      <c r="F114" s="8" t="s">
        <v>300</v>
      </c>
      <c r="G114" s="8" t="s">
        <v>80</v>
      </c>
      <c r="H114" s="8" t="s">
        <v>535</v>
      </c>
      <c r="I114" s="8" t="s">
        <v>1220</v>
      </c>
      <c r="J114" s="8" t="s">
        <v>290</v>
      </c>
      <c r="K114" s="8" t="s">
        <v>309</v>
      </c>
      <c r="L114" s="8" t="s">
        <v>292</v>
      </c>
      <c r="M114" s="8" t="s">
        <v>310</v>
      </c>
      <c r="N114" s="8" t="s">
        <v>294</v>
      </c>
      <c r="O114" s="8" t="s">
        <v>311</v>
      </c>
      <c r="P114" s="8" t="s">
        <v>55</v>
      </c>
      <c r="Q114" s="8" t="s">
        <v>56</v>
      </c>
      <c r="R114" s="8" t="s">
        <v>72</v>
      </c>
      <c r="S114" s="8" t="s">
        <v>1126</v>
      </c>
      <c r="T114" s="8" t="s">
        <v>1126</v>
      </c>
      <c r="U114" s="8" t="s">
        <v>212</v>
      </c>
      <c r="V114" s="8" t="s">
        <v>1145</v>
      </c>
    </row>
    <row r="115" spans="1:22" x14ac:dyDescent="0.2">
      <c r="A115" s="8" t="s">
        <v>536</v>
      </c>
      <c r="B115" s="8" t="s">
        <v>47</v>
      </c>
      <c r="C115" s="8" t="s">
        <v>537</v>
      </c>
      <c r="D115" s="8" t="s">
        <v>49</v>
      </c>
      <c r="E115" s="8" t="s">
        <v>1148</v>
      </c>
      <c r="F115" s="8" t="s">
        <v>300</v>
      </c>
      <c r="G115" s="8" t="s">
        <v>80</v>
      </c>
      <c r="H115" s="8" t="s">
        <v>1221</v>
      </c>
      <c r="I115" s="8"/>
      <c r="J115" s="8" t="s">
        <v>314</v>
      </c>
      <c r="K115" s="8" t="s">
        <v>291</v>
      </c>
      <c r="L115" s="8" t="s">
        <v>315</v>
      </c>
      <c r="M115" s="8" t="s">
        <v>293</v>
      </c>
      <c r="N115" s="8" t="s">
        <v>316</v>
      </c>
      <c r="O115" s="8" t="s">
        <v>54</v>
      </c>
      <c r="P115" s="8" t="s">
        <v>55</v>
      </c>
      <c r="Q115" s="8" t="s">
        <v>56</v>
      </c>
      <c r="R115" s="8" t="s">
        <v>72</v>
      </c>
      <c r="S115" s="8" t="s">
        <v>1150</v>
      </c>
      <c r="T115" s="8" t="s">
        <v>1150</v>
      </c>
      <c r="U115" s="8" t="s">
        <v>1150</v>
      </c>
      <c r="V115" s="8" t="s">
        <v>1145</v>
      </c>
    </row>
    <row r="116" spans="1:22" x14ac:dyDescent="0.2">
      <c r="A116" s="8" t="s">
        <v>538</v>
      </c>
      <c r="B116" s="8" t="s">
        <v>47</v>
      </c>
      <c r="C116" s="8" t="s">
        <v>539</v>
      </c>
      <c r="D116" s="8" t="s">
        <v>49</v>
      </c>
      <c r="E116" s="8" t="s">
        <v>1222</v>
      </c>
      <c r="F116" s="8" t="s">
        <v>437</v>
      </c>
      <c r="G116" s="8" t="s">
        <v>1</v>
      </c>
      <c r="H116" s="8"/>
      <c r="I116" s="8"/>
      <c r="J116" s="8" t="s">
        <v>541</v>
      </c>
      <c r="K116" s="8" t="s">
        <v>542</v>
      </c>
      <c r="L116" s="8" t="s">
        <v>543</v>
      </c>
      <c r="M116" s="8" t="s">
        <v>544</v>
      </c>
      <c r="N116" s="8" t="s">
        <v>442</v>
      </c>
      <c r="O116" s="8" t="s">
        <v>54</v>
      </c>
      <c r="P116" s="8" t="s">
        <v>55</v>
      </c>
      <c r="Q116" s="8" t="s">
        <v>56</v>
      </c>
      <c r="R116" s="8" t="s">
        <v>47</v>
      </c>
      <c r="S116" s="8" t="s">
        <v>460</v>
      </c>
      <c r="T116" s="8" t="s">
        <v>460</v>
      </c>
      <c r="U116" s="8" t="s">
        <v>460</v>
      </c>
      <c r="V116" s="8"/>
    </row>
    <row r="117" spans="1:22" x14ac:dyDescent="0.2">
      <c r="A117" s="8" t="s">
        <v>545</v>
      </c>
      <c r="B117" s="8" t="s">
        <v>47</v>
      </c>
      <c r="C117" s="8" t="s">
        <v>546</v>
      </c>
      <c r="D117" s="8" t="s">
        <v>49</v>
      </c>
      <c r="E117" s="8" t="s">
        <v>1163</v>
      </c>
      <c r="F117" s="8" t="s">
        <v>240</v>
      </c>
      <c r="G117" s="8" t="s">
        <v>73</v>
      </c>
      <c r="H117" s="8" t="s">
        <v>1223</v>
      </c>
      <c r="I117" s="8"/>
      <c r="J117" s="8" t="s">
        <v>547</v>
      </c>
      <c r="K117" s="8" t="s">
        <v>542</v>
      </c>
      <c r="L117" s="8" t="s">
        <v>548</v>
      </c>
      <c r="M117" s="8" t="s">
        <v>544</v>
      </c>
      <c r="N117" s="8" t="s">
        <v>255</v>
      </c>
      <c r="O117" s="8" t="s">
        <v>54</v>
      </c>
      <c r="P117" s="8" t="s">
        <v>55</v>
      </c>
      <c r="Q117" s="8" t="s">
        <v>56</v>
      </c>
      <c r="R117" s="8" t="s">
        <v>72</v>
      </c>
      <c r="S117" s="8" t="s">
        <v>460</v>
      </c>
      <c r="T117" s="8" t="s">
        <v>460</v>
      </c>
      <c r="U117" s="8" t="s">
        <v>460</v>
      </c>
      <c r="V117" s="8" t="s">
        <v>1165</v>
      </c>
    </row>
    <row r="118" spans="1:22" x14ac:dyDescent="0.2">
      <c r="A118" s="8" t="s">
        <v>549</v>
      </c>
      <c r="B118" s="8" t="s">
        <v>47</v>
      </c>
      <c r="C118" s="8" t="s">
        <v>550</v>
      </c>
      <c r="D118" s="8" t="s">
        <v>49</v>
      </c>
      <c r="E118" s="8" t="s">
        <v>1166</v>
      </c>
      <c r="F118" s="8" t="s">
        <v>240</v>
      </c>
      <c r="G118" s="8" t="s">
        <v>73</v>
      </c>
      <c r="H118" s="8" t="s">
        <v>1223</v>
      </c>
      <c r="I118" s="8"/>
      <c r="J118" s="8" t="s">
        <v>547</v>
      </c>
      <c r="K118" s="8" t="s">
        <v>542</v>
      </c>
      <c r="L118" s="8" t="s">
        <v>548</v>
      </c>
      <c r="M118" s="8" t="s">
        <v>544</v>
      </c>
      <c r="N118" s="8" t="s">
        <v>255</v>
      </c>
      <c r="O118" s="8" t="s">
        <v>54</v>
      </c>
      <c r="P118" s="8" t="s">
        <v>55</v>
      </c>
      <c r="Q118" s="8" t="s">
        <v>56</v>
      </c>
      <c r="R118" s="8" t="s">
        <v>72</v>
      </c>
      <c r="S118" s="8" t="s">
        <v>460</v>
      </c>
      <c r="T118" s="8" t="s">
        <v>460</v>
      </c>
      <c r="U118" s="8" t="s">
        <v>460</v>
      </c>
      <c r="V118" s="8" t="s">
        <v>1165</v>
      </c>
    </row>
    <row r="119" spans="1:22" x14ac:dyDescent="0.2">
      <c r="A119" s="8" t="s">
        <v>551</v>
      </c>
      <c r="B119" s="8" t="s">
        <v>47</v>
      </c>
      <c r="C119" s="8" t="s">
        <v>552</v>
      </c>
      <c r="D119" s="8" t="s">
        <v>49</v>
      </c>
      <c r="E119" s="8" t="s">
        <v>1167</v>
      </c>
      <c r="F119" s="8" t="s">
        <v>347</v>
      </c>
      <c r="G119" s="8" t="s">
        <v>73</v>
      </c>
      <c r="H119" s="8" t="s">
        <v>1224</v>
      </c>
      <c r="I119" s="8" t="s">
        <v>1225</v>
      </c>
      <c r="J119" s="8" t="s">
        <v>541</v>
      </c>
      <c r="K119" s="8" t="s">
        <v>553</v>
      </c>
      <c r="L119" s="8" t="s">
        <v>543</v>
      </c>
      <c r="M119" s="8" t="s">
        <v>554</v>
      </c>
      <c r="N119" s="8" t="s">
        <v>442</v>
      </c>
      <c r="O119" s="8" t="s">
        <v>452</v>
      </c>
      <c r="P119" s="8" t="s">
        <v>55</v>
      </c>
      <c r="Q119" s="8" t="s">
        <v>56</v>
      </c>
      <c r="R119" s="8" t="s">
        <v>72</v>
      </c>
      <c r="S119" s="8" t="s">
        <v>460</v>
      </c>
      <c r="T119" s="8" t="s">
        <v>460</v>
      </c>
      <c r="U119" s="8" t="s">
        <v>212</v>
      </c>
      <c r="V119" s="8" t="s">
        <v>1165</v>
      </c>
    </row>
    <row r="120" spans="1:22" x14ac:dyDescent="0.2">
      <c r="A120" s="8" t="s">
        <v>555</v>
      </c>
      <c r="B120" s="8" t="s">
        <v>47</v>
      </c>
      <c r="C120" s="8" t="s">
        <v>556</v>
      </c>
      <c r="D120" s="8" t="s">
        <v>49</v>
      </c>
      <c r="E120" s="8" t="s">
        <v>1170</v>
      </c>
      <c r="F120" s="8" t="s">
        <v>347</v>
      </c>
      <c r="G120" s="8" t="s">
        <v>73</v>
      </c>
      <c r="H120" s="8" t="s">
        <v>1224</v>
      </c>
      <c r="I120" s="8"/>
      <c r="J120" s="8" t="s">
        <v>541</v>
      </c>
      <c r="K120" s="8" t="s">
        <v>553</v>
      </c>
      <c r="L120" s="8" t="s">
        <v>543</v>
      </c>
      <c r="M120" s="8" t="s">
        <v>554</v>
      </c>
      <c r="N120" s="8" t="s">
        <v>354</v>
      </c>
      <c r="O120" s="8" t="s">
        <v>54</v>
      </c>
      <c r="P120" s="8" t="s">
        <v>55</v>
      </c>
      <c r="Q120" s="8" t="s">
        <v>56</v>
      </c>
      <c r="R120" s="8" t="s">
        <v>72</v>
      </c>
      <c r="S120" s="8" t="s">
        <v>1226</v>
      </c>
      <c r="T120" s="8" t="s">
        <v>1226</v>
      </c>
      <c r="U120" s="8" t="s">
        <v>1226</v>
      </c>
      <c r="V120" s="8" t="s">
        <v>1165</v>
      </c>
    </row>
    <row r="121" spans="1:22" x14ac:dyDescent="0.2">
      <c r="A121" s="8" t="s">
        <v>557</v>
      </c>
      <c r="B121" s="8" t="s">
        <v>47</v>
      </c>
      <c r="C121" s="8" t="s">
        <v>558</v>
      </c>
      <c r="D121" s="8" t="s">
        <v>49</v>
      </c>
      <c r="E121" s="8" t="s">
        <v>1172</v>
      </c>
      <c r="F121" s="8" t="s">
        <v>347</v>
      </c>
      <c r="G121" s="8" t="s">
        <v>73</v>
      </c>
      <c r="H121" s="8" t="s">
        <v>1224</v>
      </c>
      <c r="I121" s="8"/>
      <c r="J121" s="8" t="s">
        <v>541</v>
      </c>
      <c r="K121" s="8" t="s">
        <v>553</v>
      </c>
      <c r="L121" s="8" t="s">
        <v>543</v>
      </c>
      <c r="M121" s="8" t="s">
        <v>554</v>
      </c>
      <c r="N121" s="8" t="s">
        <v>354</v>
      </c>
      <c r="O121" s="8" t="s">
        <v>54</v>
      </c>
      <c r="P121" s="8" t="s">
        <v>55</v>
      </c>
      <c r="Q121" s="8" t="s">
        <v>56</v>
      </c>
      <c r="R121" s="8" t="s">
        <v>72</v>
      </c>
      <c r="S121" s="8" t="s">
        <v>1226</v>
      </c>
      <c r="T121" s="8" t="s">
        <v>1226</v>
      </c>
      <c r="U121" s="8" t="s">
        <v>1226</v>
      </c>
      <c r="V121" s="8" t="s">
        <v>1165</v>
      </c>
    </row>
    <row r="122" spans="1:22" x14ac:dyDescent="0.2">
      <c r="A122" s="8" t="s">
        <v>559</v>
      </c>
      <c r="B122" s="8" t="s">
        <v>47</v>
      </c>
      <c r="C122" s="8" t="s">
        <v>560</v>
      </c>
      <c r="D122" s="8" t="s">
        <v>49</v>
      </c>
      <c r="E122" s="8" t="s">
        <v>1227</v>
      </c>
      <c r="F122" s="8" t="s">
        <v>460</v>
      </c>
      <c r="G122" s="8" t="s">
        <v>1</v>
      </c>
      <c r="H122" s="8" t="s">
        <v>562</v>
      </c>
      <c r="I122" s="8" t="s">
        <v>1228</v>
      </c>
      <c r="J122" s="8" t="s">
        <v>473</v>
      </c>
      <c r="K122" s="8" t="s">
        <v>468</v>
      </c>
      <c r="L122" s="8" t="s">
        <v>475</v>
      </c>
      <c r="M122" s="8" t="s">
        <v>469</v>
      </c>
      <c r="N122" s="8" t="s">
        <v>475</v>
      </c>
      <c r="O122" s="8" t="s">
        <v>469</v>
      </c>
      <c r="P122" s="8" t="s">
        <v>55</v>
      </c>
      <c r="Q122" s="8" t="s">
        <v>56</v>
      </c>
      <c r="R122" s="8" t="s">
        <v>72</v>
      </c>
      <c r="S122" s="8" t="s">
        <v>212</v>
      </c>
      <c r="T122" s="8" t="s">
        <v>212</v>
      </c>
      <c r="U122" s="8" t="s">
        <v>212</v>
      </c>
      <c r="V122" s="8" t="s">
        <v>1134</v>
      </c>
    </row>
    <row r="123" spans="1:22" x14ac:dyDescent="0.2">
      <c r="A123" s="8" t="s">
        <v>563</v>
      </c>
      <c r="B123" s="8" t="s">
        <v>47</v>
      </c>
      <c r="C123" s="8" t="s">
        <v>564</v>
      </c>
      <c r="D123" s="8" t="s">
        <v>49</v>
      </c>
      <c r="E123" s="8" t="s">
        <v>1229</v>
      </c>
      <c r="F123" s="8" t="s">
        <v>566</v>
      </c>
      <c r="G123" s="8" t="s">
        <v>57</v>
      </c>
      <c r="H123" s="8"/>
      <c r="I123" s="8"/>
      <c r="J123" s="8" t="s">
        <v>290</v>
      </c>
      <c r="K123" s="8" t="s">
        <v>52</v>
      </c>
      <c r="L123" s="8" t="s">
        <v>292</v>
      </c>
      <c r="M123" s="8" t="s">
        <v>54</v>
      </c>
      <c r="N123" s="8" t="s">
        <v>567</v>
      </c>
      <c r="O123" s="8" t="s">
        <v>54</v>
      </c>
      <c r="P123" s="8" t="s">
        <v>55</v>
      </c>
      <c r="Q123" s="8" t="s">
        <v>56</v>
      </c>
      <c r="R123" s="8" t="s">
        <v>47</v>
      </c>
      <c r="S123" s="8" t="s">
        <v>1230</v>
      </c>
      <c r="T123" s="8" t="s">
        <v>212</v>
      </c>
      <c r="U123" s="8" t="s">
        <v>212</v>
      </c>
      <c r="V123" s="8"/>
    </row>
    <row r="124" spans="1:22" x14ac:dyDescent="0.2">
      <c r="A124" s="8" t="s">
        <v>568</v>
      </c>
      <c r="B124" s="8" t="s">
        <v>47</v>
      </c>
      <c r="C124" s="8" t="s">
        <v>569</v>
      </c>
      <c r="D124" s="8" t="s">
        <v>49</v>
      </c>
      <c r="E124" s="8" t="s">
        <v>1231</v>
      </c>
      <c r="F124" s="8" t="s">
        <v>194</v>
      </c>
      <c r="G124" s="8" t="s">
        <v>1</v>
      </c>
      <c r="H124" s="8" t="s">
        <v>559</v>
      </c>
      <c r="I124" s="8" t="s">
        <v>1232</v>
      </c>
      <c r="J124" s="8" t="s">
        <v>571</v>
      </c>
      <c r="K124" s="8" t="s">
        <v>572</v>
      </c>
      <c r="L124" s="8" t="s">
        <v>573</v>
      </c>
      <c r="M124" s="8" t="s">
        <v>574</v>
      </c>
      <c r="N124" s="8" t="s">
        <v>573</v>
      </c>
      <c r="O124" s="8" t="s">
        <v>574</v>
      </c>
      <c r="P124" s="8" t="s">
        <v>55</v>
      </c>
      <c r="Q124" s="8" t="s">
        <v>56</v>
      </c>
      <c r="R124" s="8" t="s">
        <v>72</v>
      </c>
      <c r="S124" s="8" t="s">
        <v>212</v>
      </c>
      <c r="T124" s="8" t="s">
        <v>212</v>
      </c>
      <c r="U124" s="8" t="s">
        <v>212</v>
      </c>
      <c r="V124" s="8" t="s">
        <v>1129</v>
      </c>
    </row>
    <row r="125" spans="1:22" x14ac:dyDescent="0.2">
      <c r="A125" s="8" t="s">
        <v>575</v>
      </c>
      <c r="B125" s="8" t="s">
        <v>47</v>
      </c>
      <c r="C125" s="8" t="s">
        <v>576</v>
      </c>
      <c r="D125" s="8" t="s">
        <v>49</v>
      </c>
      <c r="E125" s="8" t="s">
        <v>1233</v>
      </c>
      <c r="F125" s="8" t="s">
        <v>578</v>
      </c>
      <c r="G125" s="8" t="s">
        <v>1</v>
      </c>
      <c r="H125" s="8" t="s">
        <v>568</v>
      </c>
      <c r="I125" s="8"/>
      <c r="J125" s="8" t="s">
        <v>579</v>
      </c>
      <c r="K125" s="8" t="s">
        <v>580</v>
      </c>
      <c r="L125" s="8" t="s">
        <v>442</v>
      </c>
      <c r="M125" s="8" t="s">
        <v>581</v>
      </c>
      <c r="N125" s="8" t="s">
        <v>582</v>
      </c>
      <c r="O125" s="8" t="s">
        <v>54</v>
      </c>
      <c r="P125" s="8" t="s">
        <v>55</v>
      </c>
      <c r="Q125" s="8" t="s">
        <v>56</v>
      </c>
      <c r="R125" s="8" t="s">
        <v>72</v>
      </c>
      <c r="S125" s="8" t="s">
        <v>1234</v>
      </c>
      <c r="T125" s="8" t="s">
        <v>1234</v>
      </c>
      <c r="U125" s="8" t="s">
        <v>1234</v>
      </c>
      <c r="V125" s="8" t="s">
        <v>1129</v>
      </c>
    </row>
    <row r="126" spans="1:22" x14ac:dyDescent="0.2">
      <c r="A126" s="8" t="s">
        <v>583</v>
      </c>
      <c r="B126" s="8" t="s">
        <v>47</v>
      </c>
      <c r="C126" s="8" t="s">
        <v>584</v>
      </c>
      <c r="D126" s="8" t="s">
        <v>49</v>
      </c>
      <c r="E126" s="8" t="s">
        <v>1235</v>
      </c>
      <c r="F126" s="8" t="s">
        <v>586</v>
      </c>
      <c r="G126" s="8" t="s">
        <v>1</v>
      </c>
      <c r="H126" s="8"/>
      <c r="I126" s="8"/>
      <c r="J126" s="8" t="s">
        <v>266</v>
      </c>
      <c r="K126" s="8" t="s">
        <v>587</v>
      </c>
      <c r="L126" s="8" t="s">
        <v>267</v>
      </c>
      <c r="M126" s="8" t="s">
        <v>588</v>
      </c>
      <c r="N126" s="8" t="s">
        <v>228</v>
      </c>
      <c r="O126" s="8" t="s">
        <v>54</v>
      </c>
      <c r="P126" s="8" t="s">
        <v>55</v>
      </c>
      <c r="Q126" s="8" t="s">
        <v>56</v>
      </c>
      <c r="R126" s="8" t="s">
        <v>47</v>
      </c>
      <c r="S126" s="8" t="s">
        <v>1126</v>
      </c>
      <c r="T126" s="8" t="s">
        <v>1236</v>
      </c>
      <c r="U126" s="8" t="s">
        <v>1236</v>
      </c>
      <c r="V126" s="8"/>
    </row>
    <row r="127" spans="1:22" x14ac:dyDescent="0.2">
      <c r="A127" s="8" t="s">
        <v>589</v>
      </c>
      <c r="B127" s="8" t="s">
        <v>47</v>
      </c>
      <c r="C127" s="8" t="s">
        <v>590</v>
      </c>
      <c r="D127" s="8" t="s">
        <v>49</v>
      </c>
      <c r="E127" s="8" t="s">
        <v>1132</v>
      </c>
      <c r="F127" s="8" t="s">
        <v>194</v>
      </c>
      <c r="G127" s="8" t="s">
        <v>73</v>
      </c>
      <c r="H127" s="8" t="s">
        <v>591</v>
      </c>
      <c r="I127" s="8"/>
      <c r="J127" s="8" t="s">
        <v>592</v>
      </c>
      <c r="K127" s="8" t="s">
        <v>587</v>
      </c>
      <c r="L127" s="8" t="s">
        <v>61</v>
      </c>
      <c r="M127" s="8" t="s">
        <v>588</v>
      </c>
      <c r="N127" s="8" t="s">
        <v>197</v>
      </c>
      <c r="O127" s="8" t="s">
        <v>54</v>
      </c>
      <c r="P127" s="8" t="s">
        <v>55</v>
      </c>
      <c r="Q127" s="8" t="s">
        <v>56</v>
      </c>
      <c r="R127" s="8" t="s">
        <v>72</v>
      </c>
      <c r="S127" s="8" t="s">
        <v>1236</v>
      </c>
      <c r="T127" s="8" t="s">
        <v>1236</v>
      </c>
      <c r="U127" s="8" t="s">
        <v>1236</v>
      </c>
      <c r="V127" s="8" t="s">
        <v>1134</v>
      </c>
    </row>
    <row r="128" spans="1:22" x14ac:dyDescent="0.2">
      <c r="A128" s="8" t="s">
        <v>593</v>
      </c>
      <c r="B128" s="8" t="s">
        <v>47</v>
      </c>
      <c r="C128" s="8" t="s">
        <v>594</v>
      </c>
      <c r="D128" s="8" t="s">
        <v>49</v>
      </c>
      <c r="E128" s="8" t="s">
        <v>1135</v>
      </c>
      <c r="F128" s="8" t="s">
        <v>240</v>
      </c>
      <c r="G128" s="8" t="s">
        <v>73</v>
      </c>
      <c r="H128" s="8" t="s">
        <v>1237</v>
      </c>
      <c r="I128" s="8" t="s">
        <v>595</v>
      </c>
      <c r="J128" s="8" t="s">
        <v>596</v>
      </c>
      <c r="K128" s="8" t="s">
        <v>597</v>
      </c>
      <c r="L128" s="8" t="s">
        <v>598</v>
      </c>
      <c r="M128" s="8" t="s">
        <v>599</v>
      </c>
      <c r="N128" s="8" t="s">
        <v>244</v>
      </c>
      <c r="O128" s="8" t="s">
        <v>245</v>
      </c>
      <c r="P128" s="8" t="s">
        <v>55</v>
      </c>
      <c r="Q128" s="8" t="s">
        <v>56</v>
      </c>
      <c r="R128" s="8" t="s">
        <v>72</v>
      </c>
      <c r="S128" s="8" t="s">
        <v>1236</v>
      </c>
      <c r="T128" s="8" t="s">
        <v>1236</v>
      </c>
      <c r="U128" s="8" t="s">
        <v>212</v>
      </c>
      <c r="V128" s="8" t="s">
        <v>1129</v>
      </c>
    </row>
    <row r="129" spans="1:22" x14ac:dyDescent="0.2">
      <c r="A129" s="8" t="s">
        <v>600</v>
      </c>
      <c r="B129" s="8" t="s">
        <v>47</v>
      </c>
      <c r="C129" s="8" t="s">
        <v>601</v>
      </c>
      <c r="D129" s="8" t="s">
        <v>49</v>
      </c>
      <c r="E129" s="8" t="s">
        <v>1137</v>
      </c>
      <c r="F129" s="8" t="s">
        <v>194</v>
      </c>
      <c r="G129" s="8" t="s">
        <v>73</v>
      </c>
      <c r="H129" s="8" t="s">
        <v>1237</v>
      </c>
      <c r="I129" s="8" t="s">
        <v>602</v>
      </c>
      <c r="J129" s="8" t="s">
        <v>596</v>
      </c>
      <c r="K129" s="8" t="s">
        <v>580</v>
      </c>
      <c r="L129" s="8" t="s">
        <v>598</v>
      </c>
      <c r="M129" s="8" t="s">
        <v>581</v>
      </c>
      <c r="N129" s="8" t="s">
        <v>244</v>
      </c>
      <c r="O129" s="8" t="s">
        <v>250</v>
      </c>
      <c r="P129" s="8" t="s">
        <v>55</v>
      </c>
      <c r="Q129" s="8" t="s">
        <v>56</v>
      </c>
      <c r="R129" s="8" t="s">
        <v>72</v>
      </c>
      <c r="S129" s="8" t="s">
        <v>1236</v>
      </c>
      <c r="T129" s="8" t="s">
        <v>1236</v>
      </c>
      <c r="U129" s="8" t="s">
        <v>212</v>
      </c>
      <c r="V129" s="8" t="s">
        <v>1129</v>
      </c>
    </row>
    <row r="130" spans="1:22" x14ac:dyDescent="0.2">
      <c r="A130" s="8" t="s">
        <v>603</v>
      </c>
      <c r="B130" s="8" t="s">
        <v>47</v>
      </c>
      <c r="C130" s="8" t="s">
        <v>604</v>
      </c>
      <c r="D130" s="8" t="s">
        <v>49</v>
      </c>
      <c r="E130" s="8" t="s">
        <v>1138</v>
      </c>
      <c r="F130" s="8" t="s">
        <v>194</v>
      </c>
      <c r="G130" s="8" t="s">
        <v>73</v>
      </c>
      <c r="H130" s="8" t="s">
        <v>600</v>
      </c>
      <c r="I130" s="8" t="s">
        <v>595</v>
      </c>
      <c r="J130" s="8" t="s">
        <v>605</v>
      </c>
      <c r="K130" s="8" t="s">
        <v>597</v>
      </c>
      <c r="L130" s="8" t="s">
        <v>153</v>
      </c>
      <c r="M130" s="8" t="s">
        <v>599</v>
      </c>
      <c r="N130" s="8" t="s">
        <v>255</v>
      </c>
      <c r="O130" s="8" t="s">
        <v>245</v>
      </c>
      <c r="P130" s="8" t="s">
        <v>55</v>
      </c>
      <c r="Q130" s="8" t="s">
        <v>56</v>
      </c>
      <c r="R130" s="8" t="s">
        <v>72</v>
      </c>
      <c r="S130" s="8" t="s">
        <v>1236</v>
      </c>
      <c r="T130" s="8" t="s">
        <v>1236</v>
      </c>
      <c r="U130" s="8" t="s">
        <v>212</v>
      </c>
      <c r="V130" s="8" t="s">
        <v>1134</v>
      </c>
    </row>
    <row r="131" spans="1:22" x14ac:dyDescent="0.2">
      <c r="A131" s="8" t="s">
        <v>606</v>
      </c>
      <c r="B131" s="8" t="s">
        <v>47</v>
      </c>
      <c r="C131" s="8" t="s">
        <v>607</v>
      </c>
      <c r="D131" s="8" t="s">
        <v>49</v>
      </c>
      <c r="E131" s="8" t="s">
        <v>1139</v>
      </c>
      <c r="F131" s="8" t="s">
        <v>194</v>
      </c>
      <c r="G131" s="8" t="s">
        <v>73</v>
      </c>
      <c r="H131" s="8" t="s">
        <v>600</v>
      </c>
      <c r="I131" s="8" t="s">
        <v>595</v>
      </c>
      <c r="J131" s="8" t="s">
        <v>605</v>
      </c>
      <c r="K131" s="8" t="s">
        <v>597</v>
      </c>
      <c r="L131" s="8" t="s">
        <v>153</v>
      </c>
      <c r="M131" s="8" t="s">
        <v>599</v>
      </c>
      <c r="N131" s="8" t="s">
        <v>255</v>
      </c>
      <c r="O131" s="8" t="s">
        <v>245</v>
      </c>
      <c r="P131" s="8" t="s">
        <v>55</v>
      </c>
      <c r="Q131" s="8" t="s">
        <v>56</v>
      </c>
      <c r="R131" s="8" t="s">
        <v>72</v>
      </c>
      <c r="S131" s="8" t="s">
        <v>1236</v>
      </c>
      <c r="T131" s="8" t="s">
        <v>1236</v>
      </c>
      <c r="U131" s="8" t="s">
        <v>212</v>
      </c>
      <c r="V131" s="8" t="s">
        <v>1129</v>
      </c>
    </row>
    <row r="132" spans="1:22" x14ac:dyDescent="0.2">
      <c r="A132" s="8" t="s">
        <v>608</v>
      </c>
      <c r="B132" s="8" t="s">
        <v>47</v>
      </c>
      <c r="C132" s="8" t="s">
        <v>609</v>
      </c>
      <c r="D132" s="8" t="s">
        <v>49</v>
      </c>
      <c r="E132" s="8" t="s">
        <v>1238</v>
      </c>
      <c r="F132" s="8" t="s">
        <v>240</v>
      </c>
      <c r="G132" s="8" t="s">
        <v>73</v>
      </c>
      <c r="H132" s="8" t="s">
        <v>1237</v>
      </c>
      <c r="I132" s="8"/>
      <c r="J132" s="8" t="s">
        <v>596</v>
      </c>
      <c r="K132" s="8" t="s">
        <v>597</v>
      </c>
      <c r="L132" s="8" t="s">
        <v>598</v>
      </c>
      <c r="M132" s="8" t="s">
        <v>599</v>
      </c>
      <c r="N132" s="8" t="s">
        <v>255</v>
      </c>
      <c r="O132" s="8" t="s">
        <v>54</v>
      </c>
      <c r="P132" s="8" t="s">
        <v>55</v>
      </c>
      <c r="Q132" s="8" t="s">
        <v>56</v>
      </c>
      <c r="R132" s="8" t="s">
        <v>72</v>
      </c>
      <c r="S132" s="8" t="s">
        <v>1239</v>
      </c>
      <c r="T132" s="8" t="s">
        <v>1239</v>
      </c>
      <c r="U132" s="8" t="s">
        <v>1239</v>
      </c>
      <c r="V132" s="8" t="s">
        <v>1129</v>
      </c>
    </row>
    <row r="133" spans="1:22" x14ac:dyDescent="0.2">
      <c r="A133" s="8" t="s">
        <v>611</v>
      </c>
      <c r="B133" s="8" t="s">
        <v>47</v>
      </c>
      <c r="C133" s="8" t="s">
        <v>612</v>
      </c>
      <c r="D133" s="8" t="s">
        <v>49</v>
      </c>
      <c r="E133" s="8" t="s">
        <v>1140</v>
      </c>
      <c r="F133" s="8" t="s">
        <v>194</v>
      </c>
      <c r="G133" s="8" t="s">
        <v>73</v>
      </c>
      <c r="H133" s="8" t="s">
        <v>591</v>
      </c>
      <c r="I133" s="8"/>
      <c r="J133" s="8" t="s">
        <v>592</v>
      </c>
      <c r="K133" s="8" t="s">
        <v>587</v>
      </c>
      <c r="L133" s="8" t="s">
        <v>61</v>
      </c>
      <c r="M133" s="8" t="s">
        <v>588</v>
      </c>
      <c r="N133" s="8" t="s">
        <v>197</v>
      </c>
      <c r="O133" s="8" t="s">
        <v>54</v>
      </c>
      <c r="P133" s="8" t="s">
        <v>55</v>
      </c>
      <c r="Q133" s="8" t="s">
        <v>56</v>
      </c>
      <c r="R133" s="8" t="s">
        <v>72</v>
      </c>
      <c r="S133" s="8" t="s">
        <v>1236</v>
      </c>
      <c r="T133" s="8" t="s">
        <v>1236</v>
      </c>
      <c r="U133" s="8" t="s">
        <v>1236</v>
      </c>
      <c r="V133" s="8" t="s">
        <v>1129</v>
      </c>
    </row>
    <row r="134" spans="1:22" x14ac:dyDescent="0.2">
      <c r="A134" s="8" t="s">
        <v>613</v>
      </c>
      <c r="B134" s="8" t="s">
        <v>47</v>
      </c>
      <c r="C134" s="8" t="s">
        <v>614</v>
      </c>
      <c r="D134" s="8" t="s">
        <v>49</v>
      </c>
      <c r="E134" s="8" t="s">
        <v>1141</v>
      </c>
      <c r="F134" s="8" t="s">
        <v>265</v>
      </c>
      <c r="G134" s="8" t="s">
        <v>73</v>
      </c>
      <c r="H134" s="8"/>
      <c r="I134" s="8"/>
      <c r="J134" s="8" t="s">
        <v>266</v>
      </c>
      <c r="K134" s="8" t="s">
        <v>217</v>
      </c>
      <c r="L134" s="8" t="s">
        <v>267</v>
      </c>
      <c r="M134" s="8" t="s">
        <v>218</v>
      </c>
      <c r="N134" s="8" t="s">
        <v>228</v>
      </c>
      <c r="O134" s="8" t="s">
        <v>54</v>
      </c>
      <c r="P134" s="8" t="s">
        <v>55</v>
      </c>
      <c r="Q134" s="8" t="s">
        <v>56</v>
      </c>
      <c r="R134" s="8" t="s">
        <v>47</v>
      </c>
      <c r="S134" s="8" t="s">
        <v>1126</v>
      </c>
      <c r="T134" s="8" t="s">
        <v>1126</v>
      </c>
      <c r="U134" s="8" t="s">
        <v>1126</v>
      </c>
      <c r="V134" s="8"/>
    </row>
    <row r="135" spans="1:22" x14ac:dyDescent="0.2">
      <c r="A135" s="8" t="s">
        <v>615</v>
      </c>
      <c r="B135" s="8" t="s">
        <v>47</v>
      </c>
      <c r="C135" s="8" t="s">
        <v>616</v>
      </c>
      <c r="D135" s="8" t="s">
        <v>49</v>
      </c>
      <c r="E135" s="8" t="s">
        <v>1142</v>
      </c>
      <c r="F135" s="8" t="s">
        <v>83</v>
      </c>
      <c r="G135" s="8" t="s">
        <v>80</v>
      </c>
      <c r="H135" s="8" t="s">
        <v>1240</v>
      </c>
      <c r="I135" s="8" t="s">
        <v>1241</v>
      </c>
      <c r="J135" s="8" t="s">
        <v>270</v>
      </c>
      <c r="K135" s="8" t="s">
        <v>271</v>
      </c>
      <c r="L135" s="8" t="s">
        <v>272</v>
      </c>
      <c r="M135" s="8" t="s">
        <v>273</v>
      </c>
      <c r="N135" s="8" t="s">
        <v>274</v>
      </c>
      <c r="O135" s="8" t="s">
        <v>275</v>
      </c>
      <c r="P135" s="8" t="s">
        <v>55</v>
      </c>
      <c r="Q135" s="8" t="s">
        <v>56</v>
      </c>
      <c r="R135" s="8" t="s">
        <v>72</v>
      </c>
      <c r="S135" s="8" t="s">
        <v>1126</v>
      </c>
      <c r="T135" s="8" t="s">
        <v>1126</v>
      </c>
      <c r="U135" s="8" t="s">
        <v>212</v>
      </c>
      <c r="V135" s="8" t="s">
        <v>1145</v>
      </c>
    </row>
    <row r="136" spans="1:22" x14ac:dyDescent="0.2">
      <c r="A136" s="8" t="s">
        <v>617</v>
      </c>
      <c r="B136" s="8" t="s">
        <v>47</v>
      </c>
      <c r="C136" s="8" t="s">
        <v>618</v>
      </c>
      <c r="D136" s="8" t="s">
        <v>49</v>
      </c>
      <c r="E136" s="8" t="s">
        <v>1146</v>
      </c>
      <c r="F136" s="8" t="s">
        <v>83</v>
      </c>
      <c r="G136" s="8" t="s">
        <v>80</v>
      </c>
      <c r="H136" s="8" t="s">
        <v>619</v>
      </c>
      <c r="I136" s="8" t="s">
        <v>1242</v>
      </c>
      <c r="J136" s="8" t="s">
        <v>266</v>
      </c>
      <c r="K136" s="8" t="s">
        <v>279</v>
      </c>
      <c r="L136" s="8" t="s">
        <v>267</v>
      </c>
      <c r="M136" s="8" t="s">
        <v>280</v>
      </c>
      <c r="N136" s="8" t="s">
        <v>228</v>
      </c>
      <c r="O136" s="8" t="s">
        <v>281</v>
      </c>
      <c r="P136" s="8" t="s">
        <v>55</v>
      </c>
      <c r="Q136" s="8" t="s">
        <v>56</v>
      </c>
      <c r="R136" s="8" t="s">
        <v>72</v>
      </c>
      <c r="S136" s="8" t="s">
        <v>1126</v>
      </c>
      <c r="T136" s="8" t="s">
        <v>1126</v>
      </c>
      <c r="U136" s="8" t="s">
        <v>212</v>
      </c>
      <c r="V136" s="8" t="s">
        <v>1145</v>
      </c>
    </row>
    <row r="137" spans="1:22" x14ac:dyDescent="0.2">
      <c r="A137" s="8" t="s">
        <v>620</v>
      </c>
      <c r="B137" s="8" t="s">
        <v>47</v>
      </c>
      <c r="C137" s="8" t="s">
        <v>621</v>
      </c>
      <c r="D137" s="8" t="s">
        <v>49</v>
      </c>
      <c r="E137" s="8" t="s">
        <v>1148</v>
      </c>
      <c r="F137" s="8" t="s">
        <v>83</v>
      </c>
      <c r="G137" s="8" t="s">
        <v>80</v>
      </c>
      <c r="H137" s="8" t="s">
        <v>1243</v>
      </c>
      <c r="I137" s="8"/>
      <c r="J137" s="8" t="s">
        <v>284</v>
      </c>
      <c r="K137" s="8" t="s">
        <v>217</v>
      </c>
      <c r="L137" s="8" t="s">
        <v>285</v>
      </c>
      <c r="M137" s="8" t="s">
        <v>218</v>
      </c>
      <c r="N137" s="8" t="s">
        <v>114</v>
      </c>
      <c r="O137" s="8" t="s">
        <v>54</v>
      </c>
      <c r="P137" s="8" t="s">
        <v>55</v>
      </c>
      <c r="Q137" s="8" t="s">
        <v>56</v>
      </c>
      <c r="R137" s="8" t="s">
        <v>72</v>
      </c>
      <c r="S137" s="8" t="s">
        <v>1126</v>
      </c>
      <c r="T137" s="8" t="s">
        <v>1126</v>
      </c>
      <c r="U137" s="8" t="s">
        <v>1126</v>
      </c>
      <c r="V137" s="8" t="s">
        <v>1145</v>
      </c>
    </row>
    <row r="138" spans="1:22" x14ac:dyDescent="0.2">
      <c r="A138" s="8" t="s">
        <v>622</v>
      </c>
      <c r="B138" s="8" t="s">
        <v>47</v>
      </c>
      <c r="C138" s="8" t="s">
        <v>623</v>
      </c>
      <c r="D138" s="8" t="s">
        <v>49</v>
      </c>
      <c r="E138" s="8" t="s">
        <v>1244</v>
      </c>
      <c r="F138" s="8" t="s">
        <v>289</v>
      </c>
      <c r="G138" s="8" t="s">
        <v>1</v>
      </c>
      <c r="H138" s="8"/>
      <c r="I138" s="8"/>
      <c r="J138" s="8" t="s">
        <v>290</v>
      </c>
      <c r="K138" s="8" t="s">
        <v>291</v>
      </c>
      <c r="L138" s="8" t="s">
        <v>292</v>
      </c>
      <c r="M138" s="8" t="s">
        <v>293</v>
      </c>
      <c r="N138" s="8" t="s">
        <v>567</v>
      </c>
      <c r="O138" s="8" t="s">
        <v>54</v>
      </c>
      <c r="P138" s="8" t="s">
        <v>55</v>
      </c>
      <c r="Q138" s="8" t="s">
        <v>56</v>
      </c>
      <c r="R138" s="8" t="s">
        <v>47</v>
      </c>
      <c r="S138" s="8" t="s">
        <v>1230</v>
      </c>
      <c r="T138" s="8" t="s">
        <v>1150</v>
      </c>
      <c r="U138" s="8" t="s">
        <v>1230</v>
      </c>
      <c r="V138" s="8"/>
    </row>
    <row r="139" spans="1:22" x14ac:dyDescent="0.2">
      <c r="A139" s="8" t="s">
        <v>625</v>
      </c>
      <c r="B139" s="8" t="s">
        <v>47</v>
      </c>
      <c r="C139" s="8" t="s">
        <v>626</v>
      </c>
      <c r="D139" s="8" t="s">
        <v>49</v>
      </c>
      <c r="E139" s="8" t="s">
        <v>1151</v>
      </c>
      <c r="F139" s="8" t="s">
        <v>289</v>
      </c>
      <c r="G139" s="8" t="s">
        <v>73</v>
      </c>
      <c r="H139" s="8"/>
      <c r="I139" s="8"/>
      <c r="J139" s="8" t="s">
        <v>290</v>
      </c>
      <c r="K139" s="8" t="s">
        <v>291</v>
      </c>
      <c r="L139" s="8" t="s">
        <v>292</v>
      </c>
      <c r="M139" s="8" t="s">
        <v>293</v>
      </c>
      <c r="N139" s="8" t="s">
        <v>567</v>
      </c>
      <c r="O139" s="8" t="s">
        <v>54</v>
      </c>
      <c r="P139" s="8" t="s">
        <v>55</v>
      </c>
      <c r="Q139" s="8" t="s">
        <v>56</v>
      </c>
      <c r="R139" s="8" t="s">
        <v>47</v>
      </c>
      <c r="S139" s="8" t="s">
        <v>1230</v>
      </c>
      <c r="T139" s="8" t="s">
        <v>1150</v>
      </c>
      <c r="U139" s="8" t="s">
        <v>1230</v>
      </c>
      <c r="V139" s="8"/>
    </row>
    <row r="140" spans="1:22" x14ac:dyDescent="0.2">
      <c r="A140" s="8" t="s">
        <v>627</v>
      </c>
      <c r="B140" s="8" t="s">
        <v>47</v>
      </c>
      <c r="C140" s="8" t="s">
        <v>628</v>
      </c>
      <c r="D140" s="8" t="s">
        <v>49</v>
      </c>
      <c r="E140" s="8" t="s">
        <v>1142</v>
      </c>
      <c r="F140" s="8" t="s">
        <v>300</v>
      </c>
      <c r="G140" s="8" t="s">
        <v>80</v>
      </c>
      <c r="H140" s="8" t="s">
        <v>1245</v>
      </c>
      <c r="I140" s="8" t="s">
        <v>1246</v>
      </c>
      <c r="J140" s="8" t="s">
        <v>301</v>
      </c>
      <c r="K140" s="8" t="s">
        <v>302</v>
      </c>
      <c r="L140" s="8" t="s">
        <v>303</v>
      </c>
      <c r="M140" s="8" t="s">
        <v>304</v>
      </c>
      <c r="N140" s="8" t="s">
        <v>305</v>
      </c>
      <c r="O140" s="8" t="s">
        <v>306</v>
      </c>
      <c r="P140" s="8" t="s">
        <v>55</v>
      </c>
      <c r="Q140" s="8" t="s">
        <v>56</v>
      </c>
      <c r="R140" s="8" t="s">
        <v>72</v>
      </c>
      <c r="S140" s="8" t="s">
        <v>1150</v>
      </c>
      <c r="T140" s="8" t="s">
        <v>1150</v>
      </c>
      <c r="U140" s="8" t="s">
        <v>212</v>
      </c>
      <c r="V140" s="8" t="s">
        <v>1145</v>
      </c>
    </row>
    <row r="141" spans="1:22" x14ac:dyDescent="0.2">
      <c r="A141" s="8" t="s">
        <v>629</v>
      </c>
      <c r="B141" s="8" t="s">
        <v>47</v>
      </c>
      <c r="C141" s="8" t="s">
        <v>630</v>
      </c>
      <c r="D141" s="8" t="s">
        <v>49</v>
      </c>
      <c r="E141" s="8" t="s">
        <v>1146</v>
      </c>
      <c r="F141" s="8" t="s">
        <v>300</v>
      </c>
      <c r="G141" s="8" t="s">
        <v>80</v>
      </c>
      <c r="H141" s="8" t="s">
        <v>219</v>
      </c>
      <c r="I141" s="8" t="s">
        <v>1247</v>
      </c>
      <c r="J141" s="8" t="s">
        <v>290</v>
      </c>
      <c r="K141" s="8" t="s">
        <v>309</v>
      </c>
      <c r="L141" s="8" t="s">
        <v>292</v>
      </c>
      <c r="M141" s="8" t="s">
        <v>310</v>
      </c>
      <c r="N141" s="8" t="s">
        <v>567</v>
      </c>
      <c r="O141" s="8" t="s">
        <v>631</v>
      </c>
      <c r="P141" s="8" t="s">
        <v>55</v>
      </c>
      <c r="Q141" s="8" t="s">
        <v>56</v>
      </c>
      <c r="R141" s="8" t="s">
        <v>72</v>
      </c>
      <c r="S141" s="8" t="s">
        <v>1230</v>
      </c>
      <c r="T141" s="8" t="s">
        <v>1230</v>
      </c>
      <c r="U141" s="8" t="s">
        <v>212</v>
      </c>
      <c r="V141" s="8" t="s">
        <v>1145</v>
      </c>
    </row>
    <row r="142" spans="1:22" x14ac:dyDescent="0.2">
      <c r="A142" s="8" t="s">
        <v>632</v>
      </c>
      <c r="B142" s="8" t="s">
        <v>47</v>
      </c>
      <c r="C142" s="8" t="s">
        <v>633</v>
      </c>
      <c r="D142" s="8" t="s">
        <v>49</v>
      </c>
      <c r="E142" s="8" t="s">
        <v>1148</v>
      </c>
      <c r="F142" s="8" t="s">
        <v>300</v>
      </c>
      <c r="G142" s="8" t="s">
        <v>80</v>
      </c>
      <c r="H142" s="8" t="s">
        <v>1248</v>
      </c>
      <c r="I142" s="8"/>
      <c r="J142" s="8" t="s">
        <v>314</v>
      </c>
      <c r="K142" s="8" t="s">
        <v>291</v>
      </c>
      <c r="L142" s="8" t="s">
        <v>315</v>
      </c>
      <c r="M142" s="8" t="s">
        <v>293</v>
      </c>
      <c r="N142" s="8" t="s">
        <v>316</v>
      </c>
      <c r="O142" s="8" t="s">
        <v>54</v>
      </c>
      <c r="P142" s="8" t="s">
        <v>55</v>
      </c>
      <c r="Q142" s="8" t="s">
        <v>56</v>
      </c>
      <c r="R142" s="8" t="s">
        <v>72</v>
      </c>
      <c r="S142" s="8" t="s">
        <v>1150</v>
      </c>
      <c r="T142" s="8" t="s">
        <v>1150</v>
      </c>
      <c r="U142" s="8" t="s">
        <v>1150</v>
      </c>
      <c r="V142" s="8" t="s">
        <v>1145</v>
      </c>
    </row>
    <row r="143" spans="1:22" x14ac:dyDescent="0.2">
      <c r="A143" s="8" t="s">
        <v>634</v>
      </c>
      <c r="B143" s="8" t="s">
        <v>47</v>
      </c>
      <c r="C143" s="8" t="s">
        <v>635</v>
      </c>
      <c r="D143" s="8" t="s">
        <v>49</v>
      </c>
      <c r="E143" s="8" t="s">
        <v>1156</v>
      </c>
      <c r="F143" s="8" t="s">
        <v>289</v>
      </c>
      <c r="G143" s="8" t="s">
        <v>73</v>
      </c>
      <c r="H143" s="8"/>
      <c r="I143" s="8"/>
      <c r="J143" s="8" t="s">
        <v>290</v>
      </c>
      <c r="K143" s="8" t="s">
        <v>291</v>
      </c>
      <c r="L143" s="8" t="s">
        <v>292</v>
      </c>
      <c r="M143" s="8" t="s">
        <v>293</v>
      </c>
      <c r="N143" s="8" t="s">
        <v>567</v>
      </c>
      <c r="O143" s="8" t="s">
        <v>54</v>
      </c>
      <c r="P143" s="8" t="s">
        <v>55</v>
      </c>
      <c r="Q143" s="8" t="s">
        <v>56</v>
      </c>
      <c r="R143" s="8" t="s">
        <v>47</v>
      </c>
      <c r="S143" s="8" t="s">
        <v>1230</v>
      </c>
      <c r="T143" s="8" t="s">
        <v>1150</v>
      </c>
      <c r="U143" s="8" t="s">
        <v>1230</v>
      </c>
      <c r="V143" s="8"/>
    </row>
    <row r="144" spans="1:22" x14ac:dyDescent="0.2">
      <c r="A144" s="8" t="s">
        <v>636</v>
      </c>
      <c r="B144" s="8" t="s">
        <v>47</v>
      </c>
      <c r="C144" s="8" t="s">
        <v>637</v>
      </c>
      <c r="D144" s="8" t="s">
        <v>49</v>
      </c>
      <c r="E144" s="8" t="s">
        <v>1142</v>
      </c>
      <c r="F144" s="8" t="s">
        <v>300</v>
      </c>
      <c r="G144" s="8" t="s">
        <v>80</v>
      </c>
      <c r="H144" s="8" t="s">
        <v>1249</v>
      </c>
      <c r="I144" s="8" t="s">
        <v>1250</v>
      </c>
      <c r="J144" s="8" t="s">
        <v>301</v>
      </c>
      <c r="K144" s="8" t="s">
        <v>302</v>
      </c>
      <c r="L144" s="8" t="s">
        <v>303</v>
      </c>
      <c r="M144" s="8" t="s">
        <v>304</v>
      </c>
      <c r="N144" s="8" t="s">
        <v>305</v>
      </c>
      <c r="O144" s="8" t="s">
        <v>306</v>
      </c>
      <c r="P144" s="8" t="s">
        <v>55</v>
      </c>
      <c r="Q144" s="8" t="s">
        <v>56</v>
      </c>
      <c r="R144" s="8" t="s">
        <v>72</v>
      </c>
      <c r="S144" s="8" t="s">
        <v>1150</v>
      </c>
      <c r="T144" s="8" t="s">
        <v>1150</v>
      </c>
      <c r="U144" s="8" t="s">
        <v>212</v>
      </c>
      <c r="V144" s="8" t="s">
        <v>1145</v>
      </c>
    </row>
    <row r="145" spans="1:22" x14ac:dyDescent="0.2">
      <c r="A145" s="8" t="s">
        <v>638</v>
      </c>
      <c r="B145" s="8" t="s">
        <v>47</v>
      </c>
      <c r="C145" s="8" t="s">
        <v>639</v>
      </c>
      <c r="D145" s="8" t="s">
        <v>49</v>
      </c>
      <c r="E145" s="8" t="s">
        <v>1146</v>
      </c>
      <c r="F145" s="8" t="s">
        <v>300</v>
      </c>
      <c r="G145" s="8" t="s">
        <v>80</v>
      </c>
      <c r="H145" s="8" t="s">
        <v>640</v>
      </c>
      <c r="I145" s="8" t="s">
        <v>1251</v>
      </c>
      <c r="J145" s="8" t="s">
        <v>290</v>
      </c>
      <c r="K145" s="8" t="s">
        <v>309</v>
      </c>
      <c r="L145" s="8" t="s">
        <v>292</v>
      </c>
      <c r="M145" s="8" t="s">
        <v>310</v>
      </c>
      <c r="N145" s="8" t="s">
        <v>567</v>
      </c>
      <c r="O145" s="8" t="s">
        <v>631</v>
      </c>
      <c r="P145" s="8" t="s">
        <v>55</v>
      </c>
      <c r="Q145" s="8" t="s">
        <v>56</v>
      </c>
      <c r="R145" s="8" t="s">
        <v>72</v>
      </c>
      <c r="S145" s="8" t="s">
        <v>1230</v>
      </c>
      <c r="T145" s="8" t="s">
        <v>1230</v>
      </c>
      <c r="U145" s="8" t="s">
        <v>212</v>
      </c>
      <c r="V145" s="8" t="s">
        <v>1145</v>
      </c>
    </row>
    <row r="146" spans="1:22" x14ac:dyDescent="0.2">
      <c r="A146" s="8" t="s">
        <v>641</v>
      </c>
      <c r="B146" s="8" t="s">
        <v>47</v>
      </c>
      <c r="C146" s="8" t="s">
        <v>642</v>
      </c>
      <c r="D146" s="8" t="s">
        <v>49</v>
      </c>
      <c r="E146" s="8" t="s">
        <v>1148</v>
      </c>
      <c r="F146" s="8" t="s">
        <v>300</v>
      </c>
      <c r="G146" s="8" t="s">
        <v>80</v>
      </c>
      <c r="H146" s="8" t="s">
        <v>1252</v>
      </c>
      <c r="I146" s="8"/>
      <c r="J146" s="8" t="s">
        <v>314</v>
      </c>
      <c r="K146" s="8" t="s">
        <v>291</v>
      </c>
      <c r="L146" s="8" t="s">
        <v>315</v>
      </c>
      <c r="M146" s="8" t="s">
        <v>293</v>
      </c>
      <c r="N146" s="8" t="s">
        <v>316</v>
      </c>
      <c r="O146" s="8" t="s">
        <v>54</v>
      </c>
      <c r="P146" s="8" t="s">
        <v>55</v>
      </c>
      <c r="Q146" s="8" t="s">
        <v>56</v>
      </c>
      <c r="R146" s="8" t="s">
        <v>72</v>
      </c>
      <c r="S146" s="8" t="s">
        <v>1150</v>
      </c>
      <c r="T146" s="8" t="s">
        <v>1150</v>
      </c>
      <c r="U146" s="8" t="s">
        <v>1150</v>
      </c>
      <c r="V146" s="8" t="s">
        <v>1145</v>
      </c>
    </row>
    <row r="147" spans="1:22" x14ac:dyDescent="0.2">
      <c r="A147" s="8" t="s">
        <v>643</v>
      </c>
      <c r="B147" s="8" t="s">
        <v>47</v>
      </c>
      <c r="C147" s="8" t="s">
        <v>644</v>
      </c>
      <c r="D147" s="8" t="s">
        <v>49</v>
      </c>
      <c r="E147" s="8" t="s">
        <v>1253</v>
      </c>
      <c r="F147" s="8" t="s">
        <v>437</v>
      </c>
      <c r="G147" s="8" t="s">
        <v>1</v>
      </c>
      <c r="H147" s="8"/>
      <c r="I147" s="8"/>
      <c r="J147" s="8" t="s">
        <v>579</v>
      </c>
      <c r="K147" s="8" t="s">
        <v>52</v>
      </c>
      <c r="L147" s="8" t="s">
        <v>442</v>
      </c>
      <c r="M147" s="8" t="s">
        <v>54</v>
      </c>
      <c r="N147" s="8" t="s">
        <v>442</v>
      </c>
      <c r="O147" s="8" t="s">
        <v>54</v>
      </c>
      <c r="P147" s="8" t="s">
        <v>55</v>
      </c>
      <c r="Q147" s="8" t="s">
        <v>56</v>
      </c>
      <c r="R147" s="8" t="s">
        <v>47</v>
      </c>
      <c r="S147" s="8" t="s">
        <v>212</v>
      </c>
      <c r="T147" s="8" t="s">
        <v>212</v>
      </c>
      <c r="U147" s="8" t="s">
        <v>212</v>
      </c>
      <c r="V147" s="8"/>
    </row>
    <row r="148" spans="1:22" x14ac:dyDescent="0.2">
      <c r="A148" s="8" t="s">
        <v>646</v>
      </c>
      <c r="B148" s="8" t="s">
        <v>47</v>
      </c>
      <c r="C148" s="8" t="s">
        <v>647</v>
      </c>
      <c r="D148" s="8" t="s">
        <v>49</v>
      </c>
      <c r="E148" s="8" t="s">
        <v>1163</v>
      </c>
      <c r="F148" s="8" t="s">
        <v>240</v>
      </c>
      <c r="G148" s="8" t="s">
        <v>73</v>
      </c>
      <c r="H148" s="8" t="s">
        <v>1254</v>
      </c>
      <c r="I148" s="8"/>
      <c r="J148" s="8" t="s">
        <v>648</v>
      </c>
      <c r="K148" s="8" t="s">
        <v>52</v>
      </c>
      <c r="L148" s="8" t="s">
        <v>255</v>
      </c>
      <c r="M148" s="8" t="s">
        <v>54</v>
      </c>
      <c r="N148" s="8" t="s">
        <v>255</v>
      </c>
      <c r="O148" s="8" t="s">
        <v>54</v>
      </c>
      <c r="P148" s="8" t="s">
        <v>55</v>
      </c>
      <c r="Q148" s="8" t="s">
        <v>56</v>
      </c>
      <c r="R148" s="8" t="s">
        <v>72</v>
      </c>
      <c r="S148" s="8" t="s">
        <v>212</v>
      </c>
      <c r="T148" s="8" t="s">
        <v>212</v>
      </c>
      <c r="U148" s="8" t="s">
        <v>212</v>
      </c>
      <c r="V148" s="8" t="s">
        <v>1165</v>
      </c>
    </row>
    <row r="149" spans="1:22" x14ac:dyDescent="0.2">
      <c r="A149" s="8" t="s">
        <v>649</v>
      </c>
      <c r="B149" s="8" t="s">
        <v>47</v>
      </c>
      <c r="C149" s="8" t="s">
        <v>650</v>
      </c>
      <c r="D149" s="8" t="s">
        <v>49</v>
      </c>
      <c r="E149" s="8" t="s">
        <v>1166</v>
      </c>
      <c r="F149" s="8" t="s">
        <v>240</v>
      </c>
      <c r="G149" s="8" t="s">
        <v>73</v>
      </c>
      <c r="H149" s="8" t="s">
        <v>1254</v>
      </c>
      <c r="I149" s="8"/>
      <c r="J149" s="8" t="s">
        <v>648</v>
      </c>
      <c r="K149" s="8" t="s">
        <v>52</v>
      </c>
      <c r="L149" s="8" t="s">
        <v>255</v>
      </c>
      <c r="M149" s="8" t="s">
        <v>54</v>
      </c>
      <c r="N149" s="8" t="s">
        <v>255</v>
      </c>
      <c r="O149" s="8" t="s">
        <v>54</v>
      </c>
      <c r="P149" s="8" t="s">
        <v>55</v>
      </c>
      <c r="Q149" s="8" t="s">
        <v>56</v>
      </c>
      <c r="R149" s="8" t="s">
        <v>72</v>
      </c>
      <c r="S149" s="8" t="s">
        <v>212</v>
      </c>
      <c r="T149" s="8" t="s">
        <v>212</v>
      </c>
      <c r="U149" s="8" t="s">
        <v>212</v>
      </c>
      <c r="V149" s="8" t="s">
        <v>1165</v>
      </c>
    </row>
    <row r="150" spans="1:22" x14ac:dyDescent="0.2">
      <c r="A150" s="8" t="s">
        <v>651</v>
      </c>
      <c r="B150" s="8" t="s">
        <v>47</v>
      </c>
      <c r="C150" s="8" t="s">
        <v>652</v>
      </c>
      <c r="D150" s="8" t="s">
        <v>49</v>
      </c>
      <c r="E150" s="8" t="s">
        <v>1167</v>
      </c>
      <c r="F150" s="8" t="s">
        <v>347</v>
      </c>
      <c r="G150" s="8" t="s">
        <v>73</v>
      </c>
      <c r="H150" s="8" t="s">
        <v>1255</v>
      </c>
      <c r="I150" s="8" t="s">
        <v>1256</v>
      </c>
      <c r="J150" s="8" t="s">
        <v>579</v>
      </c>
      <c r="K150" s="8" t="s">
        <v>653</v>
      </c>
      <c r="L150" s="8" t="s">
        <v>442</v>
      </c>
      <c r="M150" s="8" t="s">
        <v>452</v>
      </c>
      <c r="N150" s="8" t="s">
        <v>442</v>
      </c>
      <c r="O150" s="8" t="s">
        <v>452</v>
      </c>
      <c r="P150" s="8" t="s">
        <v>55</v>
      </c>
      <c r="Q150" s="8" t="s">
        <v>56</v>
      </c>
      <c r="R150" s="8" t="s">
        <v>72</v>
      </c>
      <c r="S150" s="8" t="s">
        <v>212</v>
      </c>
      <c r="T150" s="8" t="s">
        <v>212</v>
      </c>
      <c r="U150" s="8" t="s">
        <v>212</v>
      </c>
      <c r="V150" s="8" t="s">
        <v>1165</v>
      </c>
    </row>
    <row r="151" spans="1:22" x14ac:dyDescent="0.2">
      <c r="A151" s="8" t="s">
        <v>654</v>
      </c>
      <c r="B151" s="8" t="s">
        <v>47</v>
      </c>
      <c r="C151" s="8" t="s">
        <v>655</v>
      </c>
      <c r="D151" s="8" t="s">
        <v>49</v>
      </c>
      <c r="E151" s="8" t="s">
        <v>1170</v>
      </c>
      <c r="F151" s="8" t="s">
        <v>347</v>
      </c>
      <c r="G151" s="8" t="s">
        <v>73</v>
      </c>
      <c r="H151" s="8" t="s">
        <v>1255</v>
      </c>
      <c r="I151" s="8"/>
      <c r="J151" s="8" t="s">
        <v>579</v>
      </c>
      <c r="K151" s="8" t="s">
        <v>653</v>
      </c>
      <c r="L151" s="8" t="s">
        <v>442</v>
      </c>
      <c r="M151" s="8" t="s">
        <v>452</v>
      </c>
      <c r="N151" s="8" t="s">
        <v>354</v>
      </c>
      <c r="O151" s="8" t="s">
        <v>54</v>
      </c>
      <c r="P151" s="8" t="s">
        <v>55</v>
      </c>
      <c r="Q151" s="8" t="s">
        <v>56</v>
      </c>
      <c r="R151" s="8" t="s">
        <v>72</v>
      </c>
      <c r="S151" s="8" t="s">
        <v>1257</v>
      </c>
      <c r="T151" s="8" t="s">
        <v>1257</v>
      </c>
      <c r="U151" s="8" t="s">
        <v>1257</v>
      </c>
      <c r="V151" s="8" t="s">
        <v>1165</v>
      </c>
    </row>
    <row r="152" spans="1:22" x14ac:dyDescent="0.2">
      <c r="A152" s="8" t="s">
        <v>656</v>
      </c>
      <c r="B152" s="8" t="s">
        <v>47</v>
      </c>
      <c r="C152" s="8" t="s">
        <v>657</v>
      </c>
      <c r="D152" s="8" t="s">
        <v>49</v>
      </c>
      <c r="E152" s="8" t="s">
        <v>1172</v>
      </c>
      <c r="F152" s="8" t="s">
        <v>347</v>
      </c>
      <c r="G152" s="8" t="s">
        <v>73</v>
      </c>
      <c r="H152" s="8" t="s">
        <v>1255</v>
      </c>
      <c r="I152" s="8"/>
      <c r="J152" s="8" t="s">
        <v>579</v>
      </c>
      <c r="K152" s="8" t="s">
        <v>653</v>
      </c>
      <c r="L152" s="8" t="s">
        <v>442</v>
      </c>
      <c r="M152" s="8" t="s">
        <v>452</v>
      </c>
      <c r="N152" s="8" t="s">
        <v>354</v>
      </c>
      <c r="O152" s="8" t="s">
        <v>54</v>
      </c>
      <c r="P152" s="8" t="s">
        <v>55</v>
      </c>
      <c r="Q152" s="8" t="s">
        <v>56</v>
      </c>
      <c r="R152" s="8" t="s">
        <v>72</v>
      </c>
      <c r="S152" s="8" t="s">
        <v>1257</v>
      </c>
      <c r="T152" s="8" t="s">
        <v>1257</v>
      </c>
      <c r="U152" s="8" t="s">
        <v>1257</v>
      </c>
      <c r="V152" s="8" t="s">
        <v>1165</v>
      </c>
    </row>
    <row r="153" spans="1:22" x14ac:dyDescent="0.2">
      <c r="A153" s="8" t="s">
        <v>658</v>
      </c>
      <c r="B153" s="8" t="s">
        <v>47</v>
      </c>
      <c r="C153" s="8" t="s">
        <v>659</v>
      </c>
      <c r="D153" s="8" t="s">
        <v>49</v>
      </c>
      <c r="E153" s="8" t="s">
        <v>1258</v>
      </c>
      <c r="F153" s="8" t="s">
        <v>361</v>
      </c>
      <c r="G153" s="8" t="s">
        <v>1</v>
      </c>
      <c r="H153" s="8" t="s">
        <v>661</v>
      </c>
      <c r="I153" s="8" t="s">
        <v>1259</v>
      </c>
      <c r="J153" s="8" t="s">
        <v>571</v>
      </c>
      <c r="K153" s="8" t="s">
        <v>587</v>
      </c>
      <c r="L153" s="8" t="s">
        <v>573</v>
      </c>
      <c r="M153" s="8" t="s">
        <v>588</v>
      </c>
      <c r="N153" s="8" t="s">
        <v>573</v>
      </c>
      <c r="O153" s="8" t="s">
        <v>588</v>
      </c>
      <c r="P153" s="8" t="s">
        <v>55</v>
      </c>
      <c r="Q153" s="8" t="s">
        <v>56</v>
      </c>
      <c r="R153" s="8" t="s">
        <v>72</v>
      </c>
      <c r="S153" s="8" t="s">
        <v>212</v>
      </c>
      <c r="T153" s="8" t="s">
        <v>212</v>
      </c>
      <c r="U153" s="8" t="s">
        <v>212</v>
      </c>
      <c r="V153" s="8" t="s">
        <v>1134</v>
      </c>
    </row>
    <row r="154" spans="1:22" x14ac:dyDescent="0.2">
      <c r="A154" s="8" t="s">
        <v>662</v>
      </c>
      <c r="B154" s="8" t="s">
        <v>47</v>
      </c>
      <c r="C154" s="8" t="s">
        <v>663</v>
      </c>
      <c r="D154" s="8" t="s">
        <v>49</v>
      </c>
      <c r="E154" s="8" t="s">
        <v>1260</v>
      </c>
      <c r="F154" s="8" t="s">
        <v>665</v>
      </c>
      <c r="G154" s="8" t="s">
        <v>57</v>
      </c>
      <c r="H154" s="8"/>
      <c r="I154" s="8"/>
      <c r="J154" s="8" t="s">
        <v>301</v>
      </c>
      <c r="K154" s="8" t="s">
        <v>587</v>
      </c>
      <c r="L154" s="8" t="s">
        <v>303</v>
      </c>
      <c r="M154" s="8" t="s">
        <v>588</v>
      </c>
      <c r="N154" s="8" t="s">
        <v>666</v>
      </c>
      <c r="O154" s="8" t="s">
        <v>54</v>
      </c>
      <c r="P154" s="8" t="s">
        <v>55</v>
      </c>
      <c r="Q154" s="8" t="s">
        <v>56</v>
      </c>
      <c r="R154" s="8" t="s">
        <v>47</v>
      </c>
      <c r="S154" s="8" t="s">
        <v>1230</v>
      </c>
      <c r="T154" s="8" t="s">
        <v>1236</v>
      </c>
      <c r="U154" s="8" t="s">
        <v>1236</v>
      </c>
      <c r="V154" s="8"/>
    </row>
    <row r="155" spans="1:22" x14ac:dyDescent="0.2">
      <c r="A155" s="8" t="s">
        <v>667</v>
      </c>
      <c r="B155" s="8" t="s">
        <v>47</v>
      </c>
      <c r="C155" s="8" t="s">
        <v>668</v>
      </c>
      <c r="D155" s="8" t="s">
        <v>49</v>
      </c>
      <c r="E155" s="8" t="s">
        <v>1261</v>
      </c>
      <c r="F155" s="8" t="s">
        <v>194</v>
      </c>
      <c r="G155" s="8" t="s">
        <v>1</v>
      </c>
      <c r="H155" s="8" t="s">
        <v>670</v>
      </c>
      <c r="I155" s="8" t="s">
        <v>1262</v>
      </c>
      <c r="J155" s="8" t="s">
        <v>571</v>
      </c>
      <c r="K155" s="8" t="s">
        <v>572</v>
      </c>
      <c r="L155" s="8" t="s">
        <v>573</v>
      </c>
      <c r="M155" s="8" t="s">
        <v>574</v>
      </c>
      <c r="N155" s="8" t="s">
        <v>274</v>
      </c>
      <c r="O155" s="8" t="s">
        <v>671</v>
      </c>
      <c r="P155" s="8" t="s">
        <v>55</v>
      </c>
      <c r="Q155" s="8" t="s">
        <v>56</v>
      </c>
      <c r="R155" s="8" t="s">
        <v>72</v>
      </c>
      <c r="S155" s="8" t="s">
        <v>1236</v>
      </c>
      <c r="T155" s="8" t="s">
        <v>1236</v>
      </c>
      <c r="U155" s="8" t="s">
        <v>212</v>
      </c>
      <c r="V155" s="8" t="s">
        <v>1129</v>
      </c>
    </row>
    <row r="156" spans="1:22" x14ac:dyDescent="0.2">
      <c r="A156" s="8" t="s">
        <v>672</v>
      </c>
      <c r="B156" s="8" t="s">
        <v>47</v>
      </c>
      <c r="C156" s="8" t="s">
        <v>673</v>
      </c>
      <c r="D156" s="8" t="s">
        <v>49</v>
      </c>
      <c r="E156" s="8" t="s">
        <v>1263</v>
      </c>
      <c r="F156" s="8" t="s">
        <v>578</v>
      </c>
      <c r="G156" s="8" t="s">
        <v>1</v>
      </c>
      <c r="H156" s="8" t="s">
        <v>667</v>
      </c>
      <c r="I156" s="8"/>
      <c r="J156" s="8" t="s">
        <v>579</v>
      </c>
      <c r="K156" s="8" t="s">
        <v>580</v>
      </c>
      <c r="L156" s="8" t="s">
        <v>442</v>
      </c>
      <c r="M156" s="8" t="s">
        <v>581</v>
      </c>
      <c r="N156" s="8" t="s">
        <v>582</v>
      </c>
      <c r="O156" s="8" t="s">
        <v>54</v>
      </c>
      <c r="P156" s="8" t="s">
        <v>55</v>
      </c>
      <c r="Q156" s="8" t="s">
        <v>56</v>
      </c>
      <c r="R156" s="8" t="s">
        <v>72</v>
      </c>
      <c r="S156" s="8" t="s">
        <v>1234</v>
      </c>
      <c r="T156" s="8" t="s">
        <v>1234</v>
      </c>
      <c r="U156" s="8" t="s">
        <v>1234</v>
      </c>
      <c r="V156" s="8" t="s">
        <v>1129</v>
      </c>
    </row>
    <row r="157" spans="1:22" x14ac:dyDescent="0.2">
      <c r="A157" s="8" t="s">
        <v>675</v>
      </c>
      <c r="B157" s="8" t="s">
        <v>47</v>
      </c>
      <c r="C157" s="8" t="s">
        <v>676</v>
      </c>
      <c r="D157" s="8" t="s">
        <v>49</v>
      </c>
      <c r="E157" s="8" t="s">
        <v>1264</v>
      </c>
      <c r="F157" s="8" t="s">
        <v>678</v>
      </c>
      <c r="G157" s="8" t="s">
        <v>1</v>
      </c>
      <c r="H157" s="8"/>
      <c r="I157" s="8"/>
      <c r="J157" s="8" t="s">
        <v>270</v>
      </c>
      <c r="K157" s="8" t="s">
        <v>587</v>
      </c>
      <c r="L157" s="8" t="s">
        <v>272</v>
      </c>
      <c r="M157" s="8" t="s">
        <v>588</v>
      </c>
      <c r="N157" s="8" t="s">
        <v>244</v>
      </c>
      <c r="O157" s="8" t="s">
        <v>54</v>
      </c>
      <c r="P157" s="8" t="s">
        <v>55</v>
      </c>
      <c r="Q157" s="8" t="s">
        <v>56</v>
      </c>
      <c r="R157" s="8" t="s">
        <v>47</v>
      </c>
      <c r="S157" s="8" t="s">
        <v>1265</v>
      </c>
      <c r="T157" s="8" t="s">
        <v>1236</v>
      </c>
      <c r="U157" s="8" t="s">
        <v>1236</v>
      </c>
      <c r="V157" s="8"/>
    </row>
    <row r="158" spans="1:22" x14ac:dyDescent="0.2">
      <c r="A158" s="8" t="s">
        <v>679</v>
      </c>
      <c r="B158" s="8" t="s">
        <v>47</v>
      </c>
      <c r="C158" s="8" t="s">
        <v>680</v>
      </c>
      <c r="D158" s="8" t="s">
        <v>49</v>
      </c>
      <c r="E158" s="8" t="s">
        <v>1132</v>
      </c>
      <c r="F158" s="8" t="s">
        <v>194</v>
      </c>
      <c r="G158" s="8" t="s">
        <v>73</v>
      </c>
      <c r="H158" s="8" t="s">
        <v>681</v>
      </c>
      <c r="I158" s="8"/>
      <c r="J158" s="8" t="s">
        <v>592</v>
      </c>
      <c r="K158" s="8" t="s">
        <v>587</v>
      </c>
      <c r="L158" s="8" t="s">
        <v>61</v>
      </c>
      <c r="M158" s="8" t="s">
        <v>588</v>
      </c>
      <c r="N158" s="8" t="s">
        <v>197</v>
      </c>
      <c r="O158" s="8" t="s">
        <v>54</v>
      </c>
      <c r="P158" s="8" t="s">
        <v>55</v>
      </c>
      <c r="Q158" s="8" t="s">
        <v>56</v>
      </c>
      <c r="R158" s="8" t="s">
        <v>72</v>
      </c>
      <c r="S158" s="8" t="s">
        <v>1236</v>
      </c>
      <c r="T158" s="8" t="s">
        <v>1236</v>
      </c>
      <c r="U158" s="8" t="s">
        <v>1236</v>
      </c>
      <c r="V158" s="8" t="s">
        <v>1134</v>
      </c>
    </row>
    <row r="159" spans="1:22" x14ac:dyDescent="0.2">
      <c r="A159" s="8" t="s">
        <v>682</v>
      </c>
      <c r="B159" s="8" t="s">
        <v>47</v>
      </c>
      <c r="C159" s="8" t="s">
        <v>683</v>
      </c>
      <c r="D159" s="8" t="s">
        <v>49</v>
      </c>
      <c r="E159" s="8" t="s">
        <v>1135</v>
      </c>
      <c r="F159" s="8" t="s">
        <v>240</v>
      </c>
      <c r="G159" s="8" t="s">
        <v>73</v>
      </c>
      <c r="H159" s="8" t="s">
        <v>1266</v>
      </c>
      <c r="I159" s="8" t="s">
        <v>684</v>
      </c>
      <c r="J159" s="8" t="s">
        <v>596</v>
      </c>
      <c r="K159" s="8" t="s">
        <v>597</v>
      </c>
      <c r="L159" s="8" t="s">
        <v>598</v>
      </c>
      <c r="M159" s="8" t="s">
        <v>599</v>
      </c>
      <c r="N159" s="8" t="s">
        <v>244</v>
      </c>
      <c r="O159" s="8" t="s">
        <v>245</v>
      </c>
      <c r="P159" s="8" t="s">
        <v>55</v>
      </c>
      <c r="Q159" s="8" t="s">
        <v>56</v>
      </c>
      <c r="R159" s="8" t="s">
        <v>72</v>
      </c>
      <c r="S159" s="8" t="s">
        <v>1236</v>
      </c>
      <c r="T159" s="8" t="s">
        <v>1236</v>
      </c>
      <c r="U159" s="8" t="s">
        <v>212</v>
      </c>
      <c r="V159" s="8" t="s">
        <v>1129</v>
      </c>
    </row>
    <row r="160" spans="1:22" x14ac:dyDescent="0.2">
      <c r="A160" s="8" t="s">
        <v>685</v>
      </c>
      <c r="B160" s="8" t="s">
        <v>47</v>
      </c>
      <c r="C160" s="8" t="s">
        <v>686</v>
      </c>
      <c r="D160" s="8" t="s">
        <v>49</v>
      </c>
      <c r="E160" s="8" t="s">
        <v>1137</v>
      </c>
      <c r="F160" s="8" t="s">
        <v>194</v>
      </c>
      <c r="G160" s="8" t="s">
        <v>73</v>
      </c>
      <c r="H160" s="8" t="s">
        <v>1266</v>
      </c>
      <c r="I160" s="8" t="s">
        <v>687</v>
      </c>
      <c r="J160" s="8" t="s">
        <v>596</v>
      </c>
      <c r="K160" s="8" t="s">
        <v>580</v>
      </c>
      <c r="L160" s="8" t="s">
        <v>598</v>
      </c>
      <c r="M160" s="8" t="s">
        <v>581</v>
      </c>
      <c r="N160" s="8" t="s">
        <v>244</v>
      </c>
      <c r="O160" s="8" t="s">
        <v>250</v>
      </c>
      <c r="P160" s="8" t="s">
        <v>55</v>
      </c>
      <c r="Q160" s="8" t="s">
        <v>56</v>
      </c>
      <c r="R160" s="8" t="s">
        <v>72</v>
      </c>
      <c r="S160" s="8" t="s">
        <v>1236</v>
      </c>
      <c r="T160" s="8" t="s">
        <v>1236</v>
      </c>
      <c r="U160" s="8" t="s">
        <v>212</v>
      </c>
      <c r="V160" s="8" t="s">
        <v>1129</v>
      </c>
    </row>
    <row r="161" spans="1:22" x14ac:dyDescent="0.2">
      <c r="A161" s="8" t="s">
        <v>688</v>
      </c>
      <c r="B161" s="8" t="s">
        <v>47</v>
      </c>
      <c r="C161" s="8" t="s">
        <v>689</v>
      </c>
      <c r="D161" s="8" t="s">
        <v>49</v>
      </c>
      <c r="E161" s="8" t="s">
        <v>1138</v>
      </c>
      <c r="F161" s="8" t="s">
        <v>194</v>
      </c>
      <c r="G161" s="8" t="s">
        <v>73</v>
      </c>
      <c r="H161" s="8" t="s">
        <v>685</v>
      </c>
      <c r="I161" s="8" t="s">
        <v>684</v>
      </c>
      <c r="J161" s="8" t="s">
        <v>605</v>
      </c>
      <c r="K161" s="8" t="s">
        <v>597</v>
      </c>
      <c r="L161" s="8" t="s">
        <v>153</v>
      </c>
      <c r="M161" s="8" t="s">
        <v>599</v>
      </c>
      <c r="N161" s="8" t="s">
        <v>255</v>
      </c>
      <c r="O161" s="8" t="s">
        <v>245</v>
      </c>
      <c r="P161" s="8" t="s">
        <v>55</v>
      </c>
      <c r="Q161" s="8" t="s">
        <v>56</v>
      </c>
      <c r="R161" s="8" t="s">
        <v>72</v>
      </c>
      <c r="S161" s="8" t="s">
        <v>1236</v>
      </c>
      <c r="T161" s="8" t="s">
        <v>1236</v>
      </c>
      <c r="U161" s="8" t="s">
        <v>212</v>
      </c>
      <c r="V161" s="8" t="s">
        <v>1134</v>
      </c>
    </row>
    <row r="162" spans="1:22" x14ac:dyDescent="0.2">
      <c r="A162" s="8" t="s">
        <v>690</v>
      </c>
      <c r="B162" s="8" t="s">
        <v>47</v>
      </c>
      <c r="C162" s="8" t="s">
        <v>691</v>
      </c>
      <c r="D162" s="8" t="s">
        <v>49</v>
      </c>
      <c r="E162" s="8" t="s">
        <v>1139</v>
      </c>
      <c r="F162" s="8" t="s">
        <v>194</v>
      </c>
      <c r="G162" s="8" t="s">
        <v>73</v>
      </c>
      <c r="H162" s="8" t="s">
        <v>685</v>
      </c>
      <c r="I162" s="8" t="s">
        <v>684</v>
      </c>
      <c r="J162" s="8" t="s">
        <v>605</v>
      </c>
      <c r="K162" s="8" t="s">
        <v>597</v>
      </c>
      <c r="L162" s="8" t="s">
        <v>153</v>
      </c>
      <c r="M162" s="8" t="s">
        <v>599</v>
      </c>
      <c r="N162" s="8" t="s">
        <v>255</v>
      </c>
      <c r="O162" s="8" t="s">
        <v>245</v>
      </c>
      <c r="P162" s="8" t="s">
        <v>55</v>
      </c>
      <c r="Q162" s="8" t="s">
        <v>56</v>
      </c>
      <c r="R162" s="8" t="s">
        <v>72</v>
      </c>
      <c r="S162" s="8" t="s">
        <v>1236</v>
      </c>
      <c r="T162" s="8" t="s">
        <v>1236</v>
      </c>
      <c r="U162" s="8" t="s">
        <v>212</v>
      </c>
      <c r="V162" s="8" t="s">
        <v>1129</v>
      </c>
    </row>
    <row r="163" spans="1:22" x14ac:dyDescent="0.2">
      <c r="A163" s="8" t="s">
        <v>692</v>
      </c>
      <c r="B163" s="8" t="s">
        <v>47</v>
      </c>
      <c r="C163" s="8" t="s">
        <v>693</v>
      </c>
      <c r="D163" s="8" t="s">
        <v>49</v>
      </c>
      <c r="E163" s="8" t="s">
        <v>1140</v>
      </c>
      <c r="F163" s="8" t="s">
        <v>194</v>
      </c>
      <c r="G163" s="8" t="s">
        <v>73</v>
      </c>
      <c r="H163" s="8" t="s">
        <v>681</v>
      </c>
      <c r="I163" s="8"/>
      <c r="J163" s="8" t="s">
        <v>592</v>
      </c>
      <c r="K163" s="8" t="s">
        <v>587</v>
      </c>
      <c r="L163" s="8" t="s">
        <v>61</v>
      </c>
      <c r="M163" s="8" t="s">
        <v>588</v>
      </c>
      <c r="N163" s="8" t="s">
        <v>197</v>
      </c>
      <c r="O163" s="8" t="s">
        <v>54</v>
      </c>
      <c r="P163" s="8" t="s">
        <v>55</v>
      </c>
      <c r="Q163" s="8" t="s">
        <v>56</v>
      </c>
      <c r="R163" s="8" t="s">
        <v>72</v>
      </c>
      <c r="S163" s="8" t="s">
        <v>1236</v>
      </c>
      <c r="T163" s="8" t="s">
        <v>1236</v>
      </c>
      <c r="U163" s="8" t="s">
        <v>1236</v>
      </c>
      <c r="V163" s="8" t="s">
        <v>1129</v>
      </c>
    </row>
    <row r="164" spans="1:22" x14ac:dyDescent="0.2">
      <c r="A164" s="8" t="s">
        <v>694</v>
      </c>
      <c r="B164" s="8" t="s">
        <v>47</v>
      </c>
      <c r="C164" s="8" t="s">
        <v>695</v>
      </c>
      <c r="D164" s="8" t="s">
        <v>49</v>
      </c>
      <c r="E164" s="8" t="s">
        <v>1141</v>
      </c>
      <c r="F164" s="8" t="s">
        <v>83</v>
      </c>
      <c r="G164" s="8" t="s">
        <v>73</v>
      </c>
      <c r="H164" s="8"/>
      <c r="I164" s="8"/>
      <c r="J164" s="8" t="s">
        <v>270</v>
      </c>
      <c r="K164" s="8" t="s">
        <v>271</v>
      </c>
      <c r="L164" s="8" t="s">
        <v>272</v>
      </c>
      <c r="M164" s="8" t="s">
        <v>273</v>
      </c>
      <c r="N164" s="8" t="s">
        <v>114</v>
      </c>
      <c r="O164" s="8" t="s">
        <v>54</v>
      </c>
      <c r="P164" s="8" t="s">
        <v>55</v>
      </c>
      <c r="Q164" s="8" t="s">
        <v>56</v>
      </c>
      <c r="R164" s="8" t="s">
        <v>47</v>
      </c>
      <c r="S164" s="8" t="s">
        <v>1267</v>
      </c>
      <c r="T164" s="8" t="s">
        <v>1267</v>
      </c>
      <c r="U164" s="8" t="s">
        <v>1267</v>
      </c>
      <c r="V164" s="8"/>
    </row>
    <row r="165" spans="1:22" x14ac:dyDescent="0.2">
      <c r="A165" s="8" t="s">
        <v>696</v>
      </c>
      <c r="B165" s="8" t="s">
        <v>47</v>
      </c>
      <c r="C165" s="8" t="s">
        <v>697</v>
      </c>
      <c r="D165" s="8" t="s">
        <v>49</v>
      </c>
      <c r="E165" s="8" t="s">
        <v>1142</v>
      </c>
      <c r="F165" s="8" t="s">
        <v>83</v>
      </c>
      <c r="G165" s="8" t="s">
        <v>80</v>
      </c>
      <c r="H165" s="8" t="s">
        <v>1240</v>
      </c>
      <c r="I165" s="8"/>
      <c r="J165" s="8" t="s">
        <v>270</v>
      </c>
      <c r="K165" s="8" t="s">
        <v>271</v>
      </c>
      <c r="L165" s="8" t="s">
        <v>272</v>
      </c>
      <c r="M165" s="8" t="s">
        <v>273</v>
      </c>
      <c r="N165" s="8" t="s">
        <v>114</v>
      </c>
      <c r="O165" s="8" t="s">
        <v>54</v>
      </c>
      <c r="P165" s="8" t="s">
        <v>55</v>
      </c>
      <c r="Q165" s="8" t="s">
        <v>56</v>
      </c>
      <c r="R165" s="8" t="s">
        <v>72</v>
      </c>
      <c r="S165" s="8" t="s">
        <v>1267</v>
      </c>
      <c r="T165" s="8" t="s">
        <v>1267</v>
      </c>
      <c r="U165" s="8" t="s">
        <v>1267</v>
      </c>
      <c r="V165" s="8" t="s">
        <v>1145</v>
      </c>
    </row>
    <row r="166" spans="1:22" x14ac:dyDescent="0.2">
      <c r="A166" s="8" t="s">
        <v>698</v>
      </c>
      <c r="B166" s="8" t="s">
        <v>47</v>
      </c>
      <c r="C166" s="8" t="s">
        <v>699</v>
      </c>
      <c r="D166" s="8" t="s">
        <v>49</v>
      </c>
      <c r="E166" s="8" t="s">
        <v>1268</v>
      </c>
      <c r="F166" s="8" t="s">
        <v>701</v>
      </c>
      <c r="G166" s="8" t="s">
        <v>1</v>
      </c>
      <c r="H166" s="8"/>
      <c r="I166" s="8"/>
      <c r="J166" s="8" t="s">
        <v>301</v>
      </c>
      <c r="K166" s="8" t="s">
        <v>702</v>
      </c>
      <c r="L166" s="8" t="s">
        <v>303</v>
      </c>
      <c r="M166" s="8" t="s">
        <v>703</v>
      </c>
      <c r="N166" s="8" t="s">
        <v>666</v>
      </c>
      <c r="O166" s="8" t="s">
        <v>54</v>
      </c>
      <c r="P166" s="8" t="s">
        <v>55</v>
      </c>
      <c r="Q166" s="8" t="s">
        <v>56</v>
      </c>
      <c r="R166" s="8" t="s">
        <v>47</v>
      </c>
      <c r="S166" s="8" t="s">
        <v>1230</v>
      </c>
      <c r="T166" s="8" t="s">
        <v>1230</v>
      </c>
      <c r="U166" s="8" t="s">
        <v>1230</v>
      </c>
      <c r="V166" s="8"/>
    </row>
    <row r="167" spans="1:22" x14ac:dyDescent="0.2">
      <c r="A167" s="8" t="s">
        <v>704</v>
      </c>
      <c r="B167" s="8" t="s">
        <v>47</v>
      </c>
      <c r="C167" s="8" t="s">
        <v>705</v>
      </c>
      <c r="D167" s="8" t="s">
        <v>49</v>
      </c>
      <c r="E167" s="8" t="s">
        <v>1151</v>
      </c>
      <c r="F167" s="8" t="s">
        <v>300</v>
      </c>
      <c r="G167" s="8" t="s">
        <v>73</v>
      </c>
      <c r="H167" s="8"/>
      <c r="I167" s="8"/>
      <c r="J167" s="8" t="s">
        <v>301</v>
      </c>
      <c r="K167" s="8" t="s">
        <v>302</v>
      </c>
      <c r="L167" s="8" t="s">
        <v>303</v>
      </c>
      <c r="M167" s="8" t="s">
        <v>304</v>
      </c>
      <c r="N167" s="8" t="s">
        <v>316</v>
      </c>
      <c r="O167" s="8" t="s">
        <v>54</v>
      </c>
      <c r="P167" s="8" t="s">
        <v>55</v>
      </c>
      <c r="Q167" s="8" t="s">
        <v>56</v>
      </c>
      <c r="R167" s="8" t="s">
        <v>47</v>
      </c>
      <c r="S167" s="8" t="s">
        <v>1269</v>
      </c>
      <c r="T167" s="8" t="s">
        <v>1269</v>
      </c>
      <c r="U167" s="8" t="s">
        <v>1269</v>
      </c>
      <c r="V167" s="8"/>
    </row>
    <row r="168" spans="1:22" x14ac:dyDescent="0.2">
      <c r="A168" s="8" t="s">
        <v>707</v>
      </c>
      <c r="B168" s="8" t="s">
        <v>47</v>
      </c>
      <c r="C168" s="8" t="s">
        <v>708</v>
      </c>
      <c r="D168" s="8" t="s">
        <v>49</v>
      </c>
      <c r="E168" s="8" t="s">
        <v>1142</v>
      </c>
      <c r="F168" s="8" t="s">
        <v>300</v>
      </c>
      <c r="G168" s="8" t="s">
        <v>80</v>
      </c>
      <c r="H168" s="8" t="s">
        <v>1245</v>
      </c>
      <c r="I168" s="8"/>
      <c r="J168" s="8" t="s">
        <v>301</v>
      </c>
      <c r="K168" s="8" t="s">
        <v>302</v>
      </c>
      <c r="L168" s="8" t="s">
        <v>303</v>
      </c>
      <c r="M168" s="8" t="s">
        <v>304</v>
      </c>
      <c r="N168" s="8" t="s">
        <v>316</v>
      </c>
      <c r="O168" s="8" t="s">
        <v>54</v>
      </c>
      <c r="P168" s="8" t="s">
        <v>55</v>
      </c>
      <c r="Q168" s="8" t="s">
        <v>56</v>
      </c>
      <c r="R168" s="8" t="s">
        <v>72</v>
      </c>
      <c r="S168" s="8" t="s">
        <v>1269</v>
      </c>
      <c r="T168" s="8" t="s">
        <v>1269</v>
      </c>
      <c r="U168" s="8" t="s">
        <v>1269</v>
      </c>
      <c r="V168" s="8" t="s">
        <v>1145</v>
      </c>
    </row>
    <row r="169" spans="1:22" x14ac:dyDescent="0.2">
      <c r="A169" s="8" t="s">
        <v>709</v>
      </c>
      <c r="B169" s="8" t="s">
        <v>47</v>
      </c>
      <c r="C169" s="8" t="s">
        <v>710</v>
      </c>
      <c r="D169" s="8" t="s">
        <v>49</v>
      </c>
      <c r="E169" s="8" t="s">
        <v>1156</v>
      </c>
      <c r="F169" s="8" t="s">
        <v>300</v>
      </c>
      <c r="G169" s="8" t="s">
        <v>73</v>
      </c>
      <c r="H169" s="8"/>
      <c r="I169" s="8"/>
      <c r="J169" s="8" t="s">
        <v>301</v>
      </c>
      <c r="K169" s="8" t="s">
        <v>302</v>
      </c>
      <c r="L169" s="8" t="s">
        <v>303</v>
      </c>
      <c r="M169" s="8" t="s">
        <v>304</v>
      </c>
      <c r="N169" s="8" t="s">
        <v>666</v>
      </c>
      <c r="O169" s="8" t="s">
        <v>711</v>
      </c>
      <c r="P169" s="8" t="s">
        <v>55</v>
      </c>
      <c r="Q169" s="8" t="s">
        <v>56</v>
      </c>
      <c r="R169" s="8" t="s">
        <v>47</v>
      </c>
      <c r="S169" s="8" t="s">
        <v>1230</v>
      </c>
      <c r="T169" s="8" t="s">
        <v>1230</v>
      </c>
      <c r="U169" s="8" t="s">
        <v>1230</v>
      </c>
      <c r="V169" s="8"/>
    </row>
    <row r="170" spans="1:22" x14ac:dyDescent="0.2">
      <c r="A170" s="8" t="s">
        <v>712</v>
      </c>
      <c r="B170" s="8" t="s">
        <v>47</v>
      </c>
      <c r="C170" s="8" t="s">
        <v>713</v>
      </c>
      <c r="D170" s="8" t="s">
        <v>49</v>
      </c>
      <c r="E170" s="8" t="s">
        <v>1142</v>
      </c>
      <c r="F170" s="8" t="s">
        <v>300</v>
      </c>
      <c r="G170" s="8" t="s">
        <v>80</v>
      </c>
      <c r="H170" s="8" t="s">
        <v>1249</v>
      </c>
      <c r="I170" s="8" t="s">
        <v>1270</v>
      </c>
      <c r="J170" s="8" t="s">
        <v>301</v>
      </c>
      <c r="K170" s="8" t="s">
        <v>302</v>
      </c>
      <c r="L170" s="8" t="s">
        <v>303</v>
      </c>
      <c r="M170" s="8" t="s">
        <v>304</v>
      </c>
      <c r="N170" s="8" t="s">
        <v>666</v>
      </c>
      <c r="O170" s="8" t="s">
        <v>711</v>
      </c>
      <c r="P170" s="8" t="s">
        <v>55</v>
      </c>
      <c r="Q170" s="8" t="s">
        <v>56</v>
      </c>
      <c r="R170" s="8" t="s">
        <v>72</v>
      </c>
      <c r="S170" s="8" t="s">
        <v>1230</v>
      </c>
      <c r="T170" s="8" t="s">
        <v>1230</v>
      </c>
      <c r="U170" s="8" t="s">
        <v>212</v>
      </c>
      <c r="V170" s="8" t="s">
        <v>1145</v>
      </c>
    </row>
    <row r="171" spans="1:22" x14ac:dyDescent="0.2">
      <c r="A171" s="8" t="s">
        <v>714</v>
      </c>
      <c r="B171" s="8" t="s">
        <v>47</v>
      </c>
      <c r="C171" s="8" t="s">
        <v>715</v>
      </c>
      <c r="D171" s="8" t="s">
        <v>49</v>
      </c>
      <c r="E171" s="8" t="s">
        <v>1271</v>
      </c>
      <c r="F171" s="8" t="s">
        <v>578</v>
      </c>
      <c r="G171" s="8" t="s">
        <v>73</v>
      </c>
      <c r="H171" s="8" t="s">
        <v>1272</v>
      </c>
      <c r="I171" s="8"/>
      <c r="J171" s="8" t="s">
        <v>717</v>
      </c>
      <c r="K171" s="8" t="s">
        <v>702</v>
      </c>
      <c r="L171" s="8" t="s">
        <v>718</v>
      </c>
      <c r="M171" s="8" t="s">
        <v>703</v>
      </c>
      <c r="N171" s="8" t="s">
        <v>582</v>
      </c>
      <c r="O171" s="8" t="s">
        <v>54</v>
      </c>
      <c r="P171" s="8" t="s">
        <v>55</v>
      </c>
      <c r="Q171" s="8" t="s">
        <v>56</v>
      </c>
      <c r="R171" s="8" t="s">
        <v>72</v>
      </c>
      <c r="S171" s="8" t="s">
        <v>1230</v>
      </c>
      <c r="T171" s="8" t="s">
        <v>1230</v>
      </c>
      <c r="U171" s="8" t="s">
        <v>1230</v>
      </c>
      <c r="V171" s="8" t="s">
        <v>1145</v>
      </c>
    </row>
    <row r="172" spans="1:22" x14ac:dyDescent="0.2">
      <c r="A172" s="8" t="s">
        <v>719</v>
      </c>
      <c r="B172" s="8" t="s">
        <v>47</v>
      </c>
      <c r="C172" s="8" t="s">
        <v>720</v>
      </c>
      <c r="D172" s="8" t="s">
        <v>49</v>
      </c>
      <c r="E172" s="8" t="s">
        <v>1273</v>
      </c>
      <c r="F172" s="8" t="s">
        <v>437</v>
      </c>
      <c r="G172" s="8" t="s">
        <v>1</v>
      </c>
      <c r="H172" s="8"/>
      <c r="I172" s="8"/>
      <c r="J172" s="8" t="s">
        <v>571</v>
      </c>
      <c r="K172" s="8" t="s">
        <v>722</v>
      </c>
      <c r="L172" s="8" t="s">
        <v>573</v>
      </c>
      <c r="M172" s="8" t="s">
        <v>245</v>
      </c>
      <c r="N172" s="8" t="s">
        <v>442</v>
      </c>
      <c r="O172" s="8" t="s">
        <v>54</v>
      </c>
      <c r="P172" s="8" t="s">
        <v>55</v>
      </c>
      <c r="Q172" s="8" t="s">
        <v>56</v>
      </c>
      <c r="R172" s="8" t="s">
        <v>47</v>
      </c>
      <c r="S172" s="8" t="s">
        <v>194</v>
      </c>
      <c r="T172" s="8" t="s">
        <v>194</v>
      </c>
      <c r="U172" s="8" t="s">
        <v>194</v>
      </c>
      <c r="V172" s="8"/>
    </row>
    <row r="173" spans="1:22" x14ac:dyDescent="0.2">
      <c r="A173" s="8" t="s">
        <v>723</v>
      </c>
      <c r="B173" s="8" t="s">
        <v>47</v>
      </c>
      <c r="C173" s="8" t="s">
        <v>724</v>
      </c>
      <c r="D173" s="8" t="s">
        <v>49</v>
      </c>
      <c r="E173" s="8" t="s">
        <v>1163</v>
      </c>
      <c r="F173" s="8" t="s">
        <v>240</v>
      </c>
      <c r="G173" s="8" t="s">
        <v>73</v>
      </c>
      <c r="H173" s="8" t="s">
        <v>1274</v>
      </c>
      <c r="I173" s="8"/>
      <c r="J173" s="8" t="s">
        <v>726</v>
      </c>
      <c r="K173" s="8" t="s">
        <v>722</v>
      </c>
      <c r="L173" s="8" t="s">
        <v>244</v>
      </c>
      <c r="M173" s="8" t="s">
        <v>245</v>
      </c>
      <c r="N173" s="8" t="s">
        <v>255</v>
      </c>
      <c r="O173" s="8" t="s">
        <v>54</v>
      </c>
      <c r="P173" s="8" t="s">
        <v>55</v>
      </c>
      <c r="Q173" s="8" t="s">
        <v>56</v>
      </c>
      <c r="R173" s="8" t="s">
        <v>72</v>
      </c>
      <c r="S173" s="8" t="s">
        <v>194</v>
      </c>
      <c r="T173" s="8" t="s">
        <v>194</v>
      </c>
      <c r="U173" s="8" t="s">
        <v>194</v>
      </c>
      <c r="V173" s="8" t="s">
        <v>1165</v>
      </c>
    </row>
    <row r="174" spans="1:22" x14ac:dyDescent="0.2">
      <c r="A174" s="8" t="s">
        <v>727</v>
      </c>
      <c r="B174" s="8" t="s">
        <v>47</v>
      </c>
      <c r="C174" s="8" t="s">
        <v>728</v>
      </c>
      <c r="D174" s="8" t="s">
        <v>49</v>
      </c>
      <c r="E174" s="8" t="s">
        <v>1166</v>
      </c>
      <c r="F174" s="8" t="s">
        <v>240</v>
      </c>
      <c r="G174" s="8" t="s">
        <v>73</v>
      </c>
      <c r="H174" s="8" t="s">
        <v>1274</v>
      </c>
      <c r="I174" s="8"/>
      <c r="J174" s="8" t="s">
        <v>726</v>
      </c>
      <c r="K174" s="8" t="s">
        <v>722</v>
      </c>
      <c r="L174" s="8" t="s">
        <v>244</v>
      </c>
      <c r="M174" s="8" t="s">
        <v>245</v>
      </c>
      <c r="N174" s="8" t="s">
        <v>255</v>
      </c>
      <c r="O174" s="8" t="s">
        <v>54</v>
      </c>
      <c r="P174" s="8" t="s">
        <v>55</v>
      </c>
      <c r="Q174" s="8" t="s">
        <v>56</v>
      </c>
      <c r="R174" s="8" t="s">
        <v>72</v>
      </c>
      <c r="S174" s="8" t="s">
        <v>194</v>
      </c>
      <c r="T174" s="8" t="s">
        <v>194</v>
      </c>
      <c r="U174" s="8" t="s">
        <v>194</v>
      </c>
      <c r="V174" s="8" t="s">
        <v>1165</v>
      </c>
    </row>
    <row r="175" spans="1:22" x14ac:dyDescent="0.2">
      <c r="A175" s="8" t="s">
        <v>730</v>
      </c>
      <c r="B175" s="8" t="s">
        <v>47</v>
      </c>
      <c r="C175" s="8" t="s">
        <v>731</v>
      </c>
      <c r="D175" s="8" t="s">
        <v>49</v>
      </c>
      <c r="E175" s="8" t="s">
        <v>1167</v>
      </c>
      <c r="F175" s="8" t="s">
        <v>347</v>
      </c>
      <c r="G175" s="8" t="s">
        <v>73</v>
      </c>
      <c r="H175" s="8" t="s">
        <v>732</v>
      </c>
      <c r="I175" s="8" t="s">
        <v>1275</v>
      </c>
      <c r="J175" s="8" t="s">
        <v>571</v>
      </c>
      <c r="K175" s="8" t="s">
        <v>733</v>
      </c>
      <c r="L175" s="8" t="s">
        <v>573</v>
      </c>
      <c r="M175" s="8" t="s">
        <v>734</v>
      </c>
      <c r="N175" s="8" t="s">
        <v>442</v>
      </c>
      <c r="O175" s="8" t="s">
        <v>452</v>
      </c>
      <c r="P175" s="8" t="s">
        <v>55</v>
      </c>
      <c r="Q175" s="8" t="s">
        <v>56</v>
      </c>
      <c r="R175" s="8" t="s">
        <v>72</v>
      </c>
      <c r="S175" s="8" t="s">
        <v>194</v>
      </c>
      <c r="T175" s="8" t="s">
        <v>194</v>
      </c>
      <c r="U175" s="8" t="s">
        <v>212</v>
      </c>
      <c r="V175" s="8" t="s">
        <v>1165</v>
      </c>
    </row>
    <row r="176" spans="1:22" x14ac:dyDescent="0.2">
      <c r="A176" s="8" t="s">
        <v>735</v>
      </c>
      <c r="B176" s="8" t="s">
        <v>47</v>
      </c>
      <c r="C176" s="8" t="s">
        <v>736</v>
      </c>
      <c r="D176" s="8" t="s">
        <v>49</v>
      </c>
      <c r="E176" s="8" t="s">
        <v>1170</v>
      </c>
      <c r="F176" s="8" t="s">
        <v>347</v>
      </c>
      <c r="G176" s="8" t="s">
        <v>73</v>
      </c>
      <c r="H176" s="8" t="s">
        <v>732</v>
      </c>
      <c r="I176" s="8"/>
      <c r="J176" s="8" t="s">
        <v>571</v>
      </c>
      <c r="K176" s="8" t="s">
        <v>733</v>
      </c>
      <c r="L176" s="8" t="s">
        <v>573</v>
      </c>
      <c r="M176" s="8" t="s">
        <v>734</v>
      </c>
      <c r="N176" s="8" t="s">
        <v>354</v>
      </c>
      <c r="O176" s="8" t="s">
        <v>54</v>
      </c>
      <c r="P176" s="8" t="s">
        <v>55</v>
      </c>
      <c r="Q176" s="8" t="s">
        <v>56</v>
      </c>
      <c r="R176" s="8" t="s">
        <v>72</v>
      </c>
      <c r="S176" s="8" t="s">
        <v>1276</v>
      </c>
      <c r="T176" s="8" t="s">
        <v>1276</v>
      </c>
      <c r="U176" s="8" t="s">
        <v>1276</v>
      </c>
      <c r="V176" s="8" t="s">
        <v>1165</v>
      </c>
    </row>
    <row r="177" spans="1:22" x14ac:dyDescent="0.2">
      <c r="A177" s="8" t="s">
        <v>737</v>
      </c>
      <c r="B177" s="8" t="s">
        <v>47</v>
      </c>
      <c r="C177" s="8" t="s">
        <v>738</v>
      </c>
      <c r="D177" s="8" t="s">
        <v>49</v>
      </c>
      <c r="E177" s="8" t="s">
        <v>1172</v>
      </c>
      <c r="F177" s="8" t="s">
        <v>347</v>
      </c>
      <c r="G177" s="8" t="s">
        <v>73</v>
      </c>
      <c r="H177" s="8" t="s">
        <v>732</v>
      </c>
      <c r="I177" s="8"/>
      <c r="J177" s="8" t="s">
        <v>571</v>
      </c>
      <c r="K177" s="8" t="s">
        <v>733</v>
      </c>
      <c r="L177" s="8" t="s">
        <v>573</v>
      </c>
      <c r="M177" s="8" t="s">
        <v>734</v>
      </c>
      <c r="N177" s="8" t="s">
        <v>354</v>
      </c>
      <c r="O177" s="8" t="s">
        <v>54</v>
      </c>
      <c r="P177" s="8" t="s">
        <v>55</v>
      </c>
      <c r="Q177" s="8" t="s">
        <v>56</v>
      </c>
      <c r="R177" s="8" t="s">
        <v>72</v>
      </c>
      <c r="S177" s="8" t="s">
        <v>1276</v>
      </c>
      <c r="T177" s="8" t="s">
        <v>1276</v>
      </c>
      <c r="U177" s="8" t="s">
        <v>1276</v>
      </c>
      <c r="V177" s="8" t="s">
        <v>1165</v>
      </c>
    </row>
    <row r="178" spans="1:22" x14ac:dyDescent="0.2">
      <c r="A178" s="8" t="s">
        <v>739</v>
      </c>
      <c r="B178" s="8" t="s">
        <v>47</v>
      </c>
      <c r="C178" s="8" t="s">
        <v>740</v>
      </c>
      <c r="D178" s="8" t="s">
        <v>49</v>
      </c>
      <c r="E178" s="8" t="s">
        <v>1277</v>
      </c>
      <c r="F178" s="8" t="s">
        <v>361</v>
      </c>
      <c r="G178" s="8" t="s">
        <v>1</v>
      </c>
      <c r="H178" s="8" t="s">
        <v>732</v>
      </c>
      <c r="I178" s="8"/>
      <c r="J178" s="8" t="s">
        <v>571</v>
      </c>
      <c r="K178" s="8" t="s">
        <v>587</v>
      </c>
      <c r="L178" s="8" t="s">
        <v>573</v>
      </c>
      <c r="M178" s="8" t="s">
        <v>588</v>
      </c>
      <c r="N178" s="8" t="s">
        <v>274</v>
      </c>
      <c r="O178" s="8" t="s">
        <v>54</v>
      </c>
      <c r="P178" s="8" t="s">
        <v>55</v>
      </c>
      <c r="Q178" s="8" t="s">
        <v>56</v>
      </c>
      <c r="R178" s="8" t="s">
        <v>72</v>
      </c>
      <c r="S178" s="8" t="s">
        <v>1236</v>
      </c>
      <c r="T178" s="8" t="s">
        <v>1236</v>
      </c>
      <c r="U178" s="8" t="s">
        <v>1236</v>
      </c>
      <c r="V178" s="8" t="s">
        <v>1134</v>
      </c>
    </row>
    <row r="179" spans="1:22" x14ac:dyDescent="0.2">
      <c r="A179" s="8" t="s">
        <v>742</v>
      </c>
      <c r="B179" s="8" t="s">
        <v>47</v>
      </c>
      <c r="C179" s="8" t="s">
        <v>743</v>
      </c>
      <c r="D179" s="8" t="s">
        <v>49</v>
      </c>
      <c r="E179" s="8" t="s">
        <v>1278</v>
      </c>
      <c r="F179" s="8" t="s">
        <v>745</v>
      </c>
      <c r="G179" s="8" t="s">
        <v>57</v>
      </c>
      <c r="H179" s="8"/>
      <c r="I179" s="8"/>
      <c r="J179" s="8" t="s">
        <v>331</v>
      </c>
      <c r="K179" s="8" t="s">
        <v>746</v>
      </c>
      <c r="L179" s="8" t="s">
        <v>333</v>
      </c>
      <c r="M179" s="8" t="s">
        <v>747</v>
      </c>
      <c r="N179" s="8" t="s">
        <v>159</v>
      </c>
      <c r="O179" s="8" t="s">
        <v>54</v>
      </c>
      <c r="P179" s="8" t="s">
        <v>55</v>
      </c>
      <c r="Q179" s="8" t="s">
        <v>56</v>
      </c>
      <c r="R179" s="8" t="s">
        <v>47</v>
      </c>
      <c r="S179" s="8" t="s">
        <v>1279</v>
      </c>
      <c r="T179" s="8" t="s">
        <v>1279</v>
      </c>
      <c r="U179" s="8" t="s">
        <v>1279</v>
      </c>
      <c r="V179" s="8"/>
    </row>
    <row r="180" spans="1:22" x14ac:dyDescent="0.2">
      <c r="A180" s="8" t="s">
        <v>748</v>
      </c>
      <c r="B180" s="8" t="s">
        <v>47</v>
      </c>
      <c r="C180" s="8" t="s">
        <v>749</v>
      </c>
      <c r="D180" s="8" t="s">
        <v>49</v>
      </c>
      <c r="E180" s="8" t="s">
        <v>1280</v>
      </c>
      <c r="F180" s="8" t="s">
        <v>745</v>
      </c>
      <c r="G180" s="8" t="s">
        <v>1</v>
      </c>
      <c r="H180" s="8"/>
      <c r="I180" s="8"/>
      <c r="J180" s="8" t="s">
        <v>331</v>
      </c>
      <c r="K180" s="8" t="s">
        <v>746</v>
      </c>
      <c r="L180" s="8" t="s">
        <v>333</v>
      </c>
      <c r="M180" s="8" t="s">
        <v>747</v>
      </c>
      <c r="N180" s="8" t="s">
        <v>159</v>
      </c>
      <c r="O180" s="8" t="s">
        <v>54</v>
      </c>
      <c r="P180" s="8" t="s">
        <v>55</v>
      </c>
      <c r="Q180" s="8" t="s">
        <v>56</v>
      </c>
      <c r="R180" s="8" t="s">
        <v>47</v>
      </c>
      <c r="S180" s="8" t="s">
        <v>1279</v>
      </c>
      <c r="T180" s="8" t="s">
        <v>1279</v>
      </c>
      <c r="U180" s="8" t="s">
        <v>1279</v>
      </c>
      <c r="V180" s="8"/>
    </row>
    <row r="181" spans="1:22" x14ac:dyDescent="0.2">
      <c r="A181" s="8" t="s">
        <v>751</v>
      </c>
      <c r="B181" s="8" t="s">
        <v>47</v>
      </c>
      <c r="C181" s="8" t="s">
        <v>752</v>
      </c>
      <c r="D181" s="8" t="s">
        <v>49</v>
      </c>
      <c r="E181" s="8" t="s">
        <v>1085</v>
      </c>
      <c r="F181" s="8" t="s">
        <v>754</v>
      </c>
      <c r="G181" s="8" t="s">
        <v>73</v>
      </c>
      <c r="H181" s="8" t="s">
        <v>1281</v>
      </c>
      <c r="I181" s="8" t="s">
        <v>755</v>
      </c>
      <c r="J181" s="8" t="s">
        <v>331</v>
      </c>
      <c r="K181" s="8" t="s">
        <v>756</v>
      </c>
      <c r="L181" s="8" t="s">
        <v>333</v>
      </c>
      <c r="M181" s="8" t="s">
        <v>757</v>
      </c>
      <c r="N181" s="8" t="s">
        <v>159</v>
      </c>
      <c r="O181" s="8" t="s">
        <v>758</v>
      </c>
      <c r="P181" s="8" t="s">
        <v>55</v>
      </c>
      <c r="Q181" s="8" t="s">
        <v>56</v>
      </c>
      <c r="R181" s="8" t="s">
        <v>72</v>
      </c>
      <c r="S181" s="8" t="s">
        <v>1279</v>
      </c>
      <c r="T181" s="8" t="s">
        <v>1279</v>
      </c>
      <c r="U181" s="8" t="s">
        <v>212</v>
      </c>
      <c r="V181" s="8" t="s">
        <v>1165</v>
      </c>
    </row>
    <row r="182" spans="1:22" x14ac:dyDescent="0.2">
      <c r="A182" s="8" t="s">
        <v>755</v>
      </c>
      <c r="B182" s="8" t="s">
        <v>47</v>
      </c>
      <c r="C182" s="8" t="s">
        <v>759</v>
      </c>
      <c r="D182" s="8" t="s">
        <v>49</v>
      </c>
      <c r="E182" s="8" t="s">
        <v>1087</v>
      </c>
      <c r="F182" s="8" t="s">
        <v>761</v>
      </c>
      <c r="G182" s="8" t="s">
        <v>73</v>
      </c>
      <c r="H182" s="8" t="s">
        <v>751</v>
      </c>
      <c r="I182" s="8" t="s">
        <v>762</v>
      </c>
      <c r="J182" s="8" t="s">
        <v>763</v>
      </c>
      <c r="K182" s="8" t="s">
        <v>764</v>
      </c>
      <c r="L182" s="8" t="s">
        <v>765</v>
      </c>
      <c r="M182" s="8" t="s">
        <v>766</v>
      </c>
      <c r="N182" s="8" t="s">
        <v>93</v>
      </c>
      <c r="O182" s="8" t="s">
        <v>767</v>
      </c>
      <c r="P182" s="8" t="s">
        <v>55</v>
      </c>
      <c r="Q182" s="8" t="s">
        <v>56</v>
      </c>
      <c r="R182" s="8" t="s">
        <v>72</v>
      </c>
      <c r="S182" s="8" t="s">
        <v>1279</v>
      </c>
      <c r="T182" s="8" t="s">
        <v>1279</v>
      </c>
      <c r="U182" s="8" t="s">
        <v>212</v>
      </c>
      <c r="V182" s="8" t="s">
        <v>1165</v>
      </c>
    </row>
    <row r="183" spans="1:22" x14ac:dyDescent="0.2">
      <c r="A183" s="8" t="s">
        <v>762</v>
      </c>
      <c r="B183" s="8" t="s">
        <v>47</v>
      </c>
      <c r="C183" s="8" t="s">
        <v>768</v>
      </c>
      <c r="D183" s="8" t="s">
        <v>49</v>
      </c>
      <c r="E183" s="8" t="s">
        <v>1090</v>
      </c>
      <c r="F183" s="8" t="s">
        <v>761</v>
      </c>
      <c r="G183" s="8" t="s">
        <v>73</v>
      </c>
      <c r="H183" s="8" t="s">
        <v>755</v>
      </c>
      <c r="I183" s="8" t="s">
        <v>770</v>
      </c>
      <c r="J183" s="8" t="s">
        <v>771</v>
      </c>
      <c r="K183" s="8" t="s">
        <v>772</v>
      </c>
      <c r="L183" s="8" t="s">
        <v>773</v>
      </c>
      <c r="M183" s="8" t="s">
        <v>774</v>
      </c>
      <c r="N183" s="8" t="s">
        <v>775</v>
      </c>
      <c r="O183" s="8" t="s">
        <v>776</v>
      </c>
      <c r="P183" s="8" t="s">
        <v>55</v>
      </c>
      <c r="Q183" s="8" t="s">
        <v>56</v>
      </c>
      <c r="R183" s="8" t="s">
        <v>72</v>
      </c>
      <c r="S183" s="8" t="s">
        <v>1279</v>
      </c>
      <c r="T183" s="8" t="s">
        <v>1279</v>
      </c>
      <c r="U183" s="8" t="s">
        <v>212</v>
      </c>
      <c r="V183" s="8" t="s">
        <v>1165</v>
      </c>
    </row>
    <row r="184" spans="1:22" x14ac:dyDescent="0.2">
      <c r="A184" s="8" t="s">
        <v>777</v>
      </c>
      <c r="B184" s="8" t="s">
        <v>47</v>
      </c>
      <c r="C184" s="8" t="s">
        <v>778</v>
      </c>
      <c r="D184" s="8" t="s">
        <v>49</v>
      </c>
      <c r="E184" s="8" t="s">
        <v>1092</v>
      </c>
      <c r="F184" s="8" t="s">
        <v>754</v>
      </c>
      <c r="G184" s="8" t="s">
        <v>73</v>
      </c>
      <c r="H184" s="8" t="s">
        <v>762</v>
      </c>
      <c r="I184" s="8"/>
      <c r="J184" s="8" t="s">
        <v>780</v>
      </c>
      <c r="K184" s="8" t="s">
        <v>746</v>
      </c>
      <c r="L184" s="8" t="s">
        <v>781</v>
      </c>
      <c r="M184" s="8" t="s">
        <v>747</v>
      </c>
      <c r="N184" s="8" t="s">
        <v>782</v>
      </c>
      <c r="O184" s="8" t="s">
        <v>54</v>
      </c>
      <c r="P184" s="8" t="s">
        <v>55</v>
      </c>
      <c r="Q184" s="8" t="s">
        <v>56</v>
      </c>
      <c r="R184" s="8" t="s">
        <v>72</v>
      </c>
      <c r="S184" s="8" t="s">
        <v>1279</v>
      </c>
      <c r="T184" s="8" t="s">
        <v>1279</v>
      </c>
      <c r="U184" s="8" t="s">
        <v>1279</v>
      </c>
      <c r="V184" s="8" t="s">
        <v>1165</v>
      </c>
    </row>
    <row r="185" spans="1:22" x14ac:dyDescent="0.2">
      <c r="A185" s="8" t="s">
        <v>783</v>
      </c>
      <c r="B185" s="8" t="s">
        <v>47</v>
      </c>
      <c r="C185" s="8" t="s">
        <v>784</v>
      </c>
      <c r="D185" s="8" t="s">
        <v>49</v>
      </c>
      <c r="E185" s="8" t="s">
        <v>1122</v>
      </c>
      <c r="F185" s="8" t="s">
        <v>754</v>
      </c>
      <c r="G185" s="8" t="s">
        <v>73</v>
      </c>
      <c r="H185" s="8" t="s">
        <v>762</v>
      </c>
      <c r="I185" s="8"/>
      <c r="J185" s="8" t="s">
        <v>780</v>
      </c>
      <c r="K185" s="8" t="s">
        <v>746</v>
      </c>
      <c r="L185" s="8" t="s">
        <v>781</v>
      </c>
      <c r="M185" s="8" t="s">
        <v>747</v>
      </c>
      <c r="N185" s="8" t="s">
        <v>782</v>
      </c>
      <c r="O185" s="8" t="s">
        <v>54</v>
      </c>
      <c r="P185" s="8" t="s">
        <v>55</v>
      </c>
      <c r="Q185" s="8" t="s">
        <v>56</v>
      </c>
      <c r="R185" s="8" t="s">
        <v>72</v>
      </c>
      <c r="S185" s="8" t="s">
        <v>1279</v>
      </c>
      <c r="T185" s="8" t="s">
        <v>1279</v>
      </c>
      <c r="U185" s="8" t="s">
        <v>1279</v>
      </c>
      <c r="V185" s="8" t="s">
        <v>1165</v>
      </c>
    </row>
    <row r="186" spans="1:22" x14ac:dyDescent="0.2">
      <c r="A186" s="8" t="s">
        <v>786</v>
      </c>
      <c r="B186" s="8" t="s">
        <v>47</v>
      </c>
      <c r="C186" s="8" t="s">
        <v>787</v>
      </c>
      <c r="D186" s="8" t="s">
        <v>49</v>
      </c>
      <c r="E186" s="8" t="s">
        <v>1282</v>
      </c>
      <c r="F186" s="8" t="s">
        <v>745</v>
      </c>
      <c r="G186" s="8" t="s">
        <v>1</v>
      </c>
      <c r="H186" s="8"/>
      <c r="I186" s="8"/>
      <c r="J186" s="8" t="s">
        <v>331</v>
      </c>
      <c r="K186" s="8" t="s">
        <v>746</v>
      </c>
      <c r="L186" s="8" t="s">
        <v>333</v>
      </c>
      <c r="M186" s="8" t="s">
        <v>747</v>
      </c>
      <c r="N186" s="8" t="s">
        <v>159</v>
      </c>
      <c r="O186" s="8" t="s">
        <v>54</v>
      </c>
      <c r="P186" s="8" t="s">
        <v>55</v>
      </c>
      <c r="Q186" s="8" t="s">
        <v>56</v>
      </c>
      <c r="R186" s="8" t="s">
        <v>47</v>
      </c>
      <c r="S186" s="8" t="s">
        <v>1279</v>
      </c>
      <c r="T186" s="8" t="s">
        <v>1279</v>
      </c>
      <c r="U186" s="8" t="s">
        <v>1279</v>
      </c>
      <c r="V186" s="8"/>
    </row>
    <row r="187" spans="1:22" x14ac:dyDescent="0.2">
      <c r="A187" s="8" t="s">
        <v>789</v>
      </c>
      <c r="B187" s="8" t="s">
        <v>47</v>
      </c>
      <c r="C187" s="8" t="s">
        <v>790</v>
      </c>
      <c r="D187" s="8" t="s">
        <v>49</v>
      </c>
      <c r="E187" s="8" t="s">
        <v>1085</v>
      </c>
      <c r="F187" s="8" t="s">
        <v>754</v>
      </c>
      <c r="G187" s="8" t="s">
        <v>73</v>
      </c>
      <c r="H187" s="8" t="s">
        <v>1281</v>
      </c>
      <c r="I187" s="8" t="s">
        <v>791</v>
      </c>
      <c r="J187" s="8" t="s">
        <v>331</v>
      </c>
      <c r="K187" s="8" t="s">
        <v>756</v>
      </c>
      <c r="L187" s="8" t="s">
        <v>333</v>
      </c>
      <c r="M187" s="8" t="s">
        <v>757</v>
      </c>
      <c r="N187" s="8" t="s">
        <v>159</v>
      </c>
      <c r="O187" s="8" t="s">
        <v>758</v>
      </c>
      <c r="P187" s="8" t="s">
        <v>55</v>
      </c>
      <c r="Q187" s="8" t="s">
        <v>56</v>
      </c>
      <c r="R187" s="8" t="s">
        <v>72</v>
      </c>
      <c r="S187" s="8" t="s">
        <v>1279</v>
      </c>
      <c r="T187" s="8" t="s">
        <v>1279</v>
      </c>
      <c r="U187" s="8" t="s">
        <v>212</v>
      </c>
      <c r="V187" s="8" t="s">
        <v>1165</v>
      </c>
    </row>
    <row r="188" spans="1:22" x14ac:dyDescent="0.2">
      <c r="A188" s="8" t="s">
        <v>791</v>
      </c>
      <c r="B188" s="8" t="s">
        <v>47</v>
      </c>
      <c r="C188" s="8" t="s">
        <v>792</v>
      </c>
      <c r="D188" s="8" t="s">
        <v>49</v>
      </c>
      <c r="E188" s="8" t="s">
        <v>1087</v>
      </c>
      <c r="F188" s="8" t="s">
        <v>761</v>
      </c>
      <c r="G188" s="8" t="s">
        <v>73</v>
      </c>
      <c r="H188" s="8" t="s">
        <v>789</v>
      </c>
      <c r="I188" s="8" t="s">
        <v>793</v>
      </c>
      <c r="J188" s="8" t="s">
        <v>763</v>
      </c>
      <c r="K188" s="8" t="s">
        <v>764</v>
      </c>
      <c r="L188" s="8" t="s">
        <v>765</v>
      </c>
      <c r="M188" s="8" t="s">
        <v>766</v>
      </c>
      <c r="N188" s="8" t="s">
        <v>93</v>
      </c>
      <c r="O188" s="8" t="s">
        <v>767</v>
      </c>
      <c r="P188" s="8" t="s">
        <v>55</v>
      </c>
      <c r="Q188" s="8" t="s">
        <v>56</v>
      </c>
      <c r="R188" s="8" t="s">
        <v>72</v>
      </c>
      <c r="S188" s="8" t="s">
        <v>1279</v>
      </c>
      <c r="T188" s="8" t="s">
        <v>1279</v>
      </c>
      <c r="U188" s="8" t="s">
        <v>212</v>
      </c>
      <c r="V188" s="8" t="s">
        <v>1165</v>
      </c>
    </row>
    <row r="189" spans="1:22" x14ac:dyDescent="0.2">
      <c r="A189" s="8" t="s">
        <v>793</v>
      </c>
      <c r="B189" s="8" t="s">
        <v>47</v>
      </c>
      <c r="C189" s="8" t="s">
        <v>794</v>
      </c>
      <c r="D189" s="8" t="s">
        <v>49</v>
      </c>
      <c r="E189" s="8" t="s">
        <v>1090</v>
      </c>
      <c r="F189" s="8" t="s">
        <v>761</v>
      </c>
      <c r="G189" s="8" t="s">
        <v>73</v>
      </c>
      <c r="H189" s="8" t="s">
        <v>791</v>
      </c>
      <c r="I189" s="8" t="s">
        <v>795</v>
      </c>
      <c r="J189" s="8" t="s">
        <v>771</v>
      </c>
      <c r="K189" s="8" t="s">
        <v>772</v>
      </c>
      <c r="L189" s="8" t="s">
        <v>773</v>
      </c>
      <c r="M189" s="8" t="s">
        <v>774</v>
      </c>
      <c r="N189" s="8" t="s">
        <v>775</v>
      </c>
      <c r="O189" s="8" t="s">
        <v>776</v>
      </c>
      <c r="P189" s="8" t="s">
        <v>55</v>
      </c>
      <c r="Q189" s="8" t="s">
        <v>56</v>
      </c>
      <c r="R189" s="8" t="s">
        <v>72</v>
      </c>
      <c r="S189" s="8" t="s">
        <v>1279</v>
      </c>
      <c r="T189" s="8" t="s">
        <v>1279</v>
      </c>
      <c r="U189" s="8" t="s">
        <v>212</v>
      </c>
      <c r="V189" s="8" t="s">
        <v>1165</v>
      </c>
    </row>
    <row r="190" spans="1:22" x14ac:dyDescent="0.2">
      <c r="A190" s="8" t="s">
        <v>796</v>
      </c>
      <c r="B190" s="8" t="s">
        <v>47</v>
      </c>
      <c r="C190" s="8" t="s">
        <v>797</v>
      </c>
      <c r="D190" s="8" t="s">
        <v>49</v>
      </c>
      <c r="E190" s="8" t="s">
        <v>1092</v>
      </c>
      <c r="F190" s="8" t="s">
        <v>754</v>
      </c>
      <c r="G190" s="8" t="s">
        <v>73</v>
      </c>
      <c r="H190" s="8" t="s">
        <v>793</v>
      </c>
      <c r="I190" s="8"/>
      <c r="J190" s="8" t="s">
        <v>780</v>
      </c>
      <c r="K190" s="8" t="s">
        <v>746</v>
      </c>
      <c r="L190" s="8" t="s">
        <v>781</v>
      </c>
      <c r="M190" s="8" t="s">
        <v>747</v>
      </c>
      <c r="N190" s="8" t="s">
        <v>782</v>
      </c>
      <c r="O190" s="8" t="s">
        <v>54</v>
      </c>
      <c r="P190" s="8" t="s">
        <v>55</v>
      </c>
      <c r="Q190" s="8" t="s">
        <v>56</v>
      </c>
      <c r="R190" s="8" t="s">
        <v>72</v>
      </c>
      <c r="S190" s="8" t="s">
        <v>1279</v>
      </c>
      <c r="T190" s="8" t="s">
        <v>1279</v>
      </c>
      <c r="U190" s="8" t="s">
        <v>1279</v>
      </c>
      <c r="V190" s="8" t="s">
        <v>1165</v>
      </c>
    </row>
    <row r="191" spans="1:22" x14ac:dyDescent="0.2">
      <c r="A191" s="8" t="s">
        <v>798</v>
      </c>
      <c r="B191" s="8" t="s">
        <v>47</v>
      </c>
      <c r="C191" s="8" t="s">
        <v>799</v>
      </c>
      <c r="D191" s="8" t="s">
        <v>49</v>
      </c>
      <c r="E191" s="8" t="s">
        <v>1122</v>
      </c>
      <c r="F191" s="8" t="s">
        <v>754</v>
      </c>
      <c r="G191" s="8" t="s">
        <v>73</v>
      </c>
      <c r="H191" s="8" t="s">
        <v>793</v>
      </c>
      <c r="I191" s="8"/>
      <c r="J191" s="8" t="s">
        <v>780</v>
      </c>
      <c r="K191" s="8" t="s">
        <v>746</v>
      </c>
      <c r="L191" s="8" t="s">
        <v>781</v>
      </c>
      <c r="M191" s="8" t="s">
        <v>747</v>
      </c>
      <c r="N191" s="8" t="s">
        <v>782</v>
      </c>
      <c r="O191" s="8" t="s">
        <v>54</v>
      </c>
      <c r="P191" s="8" t="s">
        <v>55</v>
      </c>
      <c r="Q191" s="8" t="s">
        <v>56</v>
      </c>
      <c r="R191" s="8" t="s">
        <v>72</v>
      </c>
      <c r="S191" s="8" t="s">
        <v>1279</v>
      </c>
      <c r="T191" s="8" t="s">
        <v>1279</v>
      </c>
      <c r="U191" s="8" t="s">
        <v>1279</v>
      </c>
      <c r="V191" s="8" t="s">
        <v>1165</v>
      </c>
    </row>
    <row r="192" spans="1:22" x14ac:dyDescent="0.2">
      <c r="A192" s="8" t="s">
        <v>800</v>
      </c>
      <c r="B192" s="8" t="s">
        <v>47</v>
      </c>
      <c r="C192" s="8" t="s">
        <v>801</v>
      </c>
      <c r="D192" s="8" t="s">
        <v>49</v>
      </c>
      <c r="E192" s="8" t="s">
        <v>1283</v>
      </c>
      <c r="F192" s="8" t="s">
        <v>803</v>
      </c>
      <c r="G192" s="8" t="s">
        <v>57</v>
      </c>
      <c r="H192" s="8"/>
      <c r="I192" s="8"/>
      <c r="J192" s="8" t="s">
        <v>331</v>
      </c>
      <c r="K192" s="8" t="s">
        <v>587</v>
      </c>
      <c r="L192" s="8" t="s">
        <v>333</v>
      </c>
      <c r="M192" s="8" t="s">
        <v>588</v>
      </c>
      <c r="N192" s="8" t="s">
        <v>274</v>
      </c>
      <c r="O192" s="8" t="s">
        <v>54</v>
      </c>
      <c r="P192" s="8" t="s">
        <v>55</v>
      </c>
      <c r="Q192" s="8" t="s">
        <v>56</v>
      </c>
      <c r="R192" s="8" t="s">
        <v>47</v>
      </c>
      <c r="S192" s="8" t="s">
        <v>1284</v>
      </c>
      <c r="T192" s="8" t="s">
        <v>1236</v>
      </c>
      <c r="U192" s="8" t="s">
        <v>1236</v>
      </c>
      <c r="V192" s="8"/>
    </row>
    <row r="193" spans="1:22" x14ac:dyDescent="0.2">
      <c r="A193" s="8" t="s">
        <v>804</v>
      </c>
      <c r="B193" s="8" t="s">
        <v>47</v>
      </c>
      <c r="C193" s="8" t="s">
        <v>805</v>
      </c>
      <c r="D193" s="8" t="s">
        <v>49</v>
      </c>
      <c r="E193" s="8" t="s">
        <v>1285</v>
      </c>
      <c r="F193" s="8" t="s">
        <v>803</v>
      </c>
      <c r="G193" s="8" t="s">
        <v>1</v>
      </c>
      <c r="H193" s="8"/>
      <c r="I193" s="8"/>
      <c r="J193" s="8" t="s">
        <v>331</v>
      </c>
      <c r="K193" s="8" t="s">
        <v>587</v>
      </c>
      <c r="L193" s="8" t="s">
        <v>333</v>
      </c>
      <c r="M193" s="8" t="s">
        <v>588</v>
      </c>
      <c r="N193" s="8" t="s">
        <v>274</v>
      </c>
      <c r="O193" s="8" t="s">
        <v>54</v>
      </c>
      <c r="P193" s="8" t="s">
        <v>55</v>
      </c>
      <c r="Q193" s="8" t="s">
        <v>56</v>
      </c>
      <c r="R193" s="8" t="s">
        <v>47</v>
      </c>
      <c r="S193" s="8" t="s">
        <v>1284</v>
      </c>
      <c r="T193" s="8" t="s">
        <v>1236</v>
      </c>
      <c r="U193" s="8" t="s">
        <v>1236</v>
      </c>
      <c r="V193" s="8"/>
    </row>
    <row r="194" spans="1:22" x14ac:dyDescent="0.2">
      <c r="A194" s="8" t="s">
        <v>807</v>
      </c>
      <c r="B194" s="8" t="s">
        <v>47</v>
      </c>
      <c r="C194" s="8" t="s">
        <v>808</v>
      </c>
      <c r="D194" s="8" t="s">
        <v>49</v>
      </c>
      <c r="E194" s="8" t="s">
        <v>1286</v>
      </c>
      <c r="F194" s="8" t="s">
        <v>361</v>
      </c>
      <c r="G194" s="8" t="s">
        <v>73</v>
      </c>
      <c r="H194" s="8" t="s">
        <v>661</v>
      </c>
      <c r="I194" s="8"/>
      <c r="J194" s="8" t="s">
        <v>571</v>
      </c>
      <c r="K194" s="8" t="s">
        <v>587</v>
      </c>
      <c r="L194" s="8" t="s">
        <v>573</v>
      </c>
      <c r="M194" s="8" t="s">
        <v>588</v>
      </c>
      <c r="N194" s="8" t="s">
        <v>274</v>
      </c>
      <c r="O194" s="8" t="s">
        <v>54</v>
      </c>
      <c r="P194" s="8" t="s">
        <v>55</v>
      </c>
      <c r="Q194" s="8" t="s">
        <v>56</v>
      </c>
      <c r="R194" s="8" t="s">
        <v>72</v>
      </c>
      <c r="S194" s="8" t="s">
        <v>1236</v>
      </c>
      <c r="T194" s="8" t="s">
        <v>1236</v>
      </c>
      <c r="U194" s="8" t="s">
        <v>1236</v>
      </c>
      <c r="V194" s="8" t="s">
        <v>1129</v>
      </c>
    </row>
    <row r="195" spans="1:22" x14ac:dyDescent="0.2">
      <c r="A195" s="8" t="s">
        <v>810</v>
      </c>
      <c r="B195" s="8" t="s">
        <v>47</v>
      </c>
      <c r="C195" s="8" t="s">
        <v>811</v>
      </c>
      <c r="D195" s="8" t="s">
        <v>49</v>
      </c>
      <c r="E195" s="8" t="s">
        <v>1287</v>
      </c>
      <c r="F195" s="8" t="s">
        <v>361</v>
      </c>
      <c r="G195" s="8" t="s">
        <v>73</v>
      </c>
      <c r="H195" s="8" t="s">
        <v>661</v>
      </c>
      <c r="I195" s="8"/>
      <c r="J195" s="8" t="s">
        <v>571</v>
      </c>
      <c r="K195" s="8" t="s">
        <v>587</v>
      </c>
      <c r="L195" s="8" t="s">
        <v>573</v>
      </c>
      <c r="M195" s="8" t="s">
        <v>588</v>
      </c>
      <c r="N195" s="8" t="s">
        <v>274</v>
      </c>
      <c r="O195" s="8" t="s">
        <v>54</v>
      </c>
      <c r="P195" s="8" t="s">
        <v>55</v>
      </c>
      <c r="Q195" s="8" t="s">
        <v>56</v>
      </c>
      <c r="R195" s="8" t="s">
        <v>72</v>
      </c>
      <c r="S195" s="8" t="s">
        <v>1236</v>
      </c>
      <c r="T195" s="8" t="s">
        <v>1236</v>
      </c>
      <c r="U195" s="8" t="s">
        <v>1236</v>
      </c>
      <c r="V195" s="8" t="s">
        <v>1129</v>
      </c>
    </row>
    <row r="196" spans="1:22" x14ac:dyDescent="0.2">
      <c r="A196" s="8" t="s">
        <v>813</v>
      </c>
      <c r="B196" s="8" t="s">
        <v>47</v>
      </c>
      <c r="C196" s="8" t="s">
        <v>814</v>
      </c>
      <c r="D196" s="8" t="s">
        <v>49</v>
      </c>
      <c r="E196" s="8" t="s">
        <v>1288</v>
      </c>
      <c r="F196" s="8" t="s">
        <v>361</v>
      </c>
      <c r="G196" s="8" t="s">
        <v>73</v>
      </c>
      <c r="H196" s="8" t="s">
        <v>661</v>
      </c>
      <c r="I196" s="8"/>
      <c r="J196" s="8" t="s">
        <v>571</v>
      </c>
      <c r="K196" s="8" t="s">
        <v>587</v>
      </c>
      <c r="L196" s="8" t="s">
        <v>573</v>
      </c>
      <c r="M196" s="8" t="s">
        <v>588</v>
      </c>
      <c r="N196" s="8" t="s">
        <v>274</v>
      </c>
      <c r="O196" s="8" t="s">
        <v>54</v>
      </c>
      <c r="P196" s="8" t="s">
        <v>55</v>
      </c>
      <c r="Q196" s="8" t="s">
        <v>56</v>
      </c>
      <c r="R196" s="8" t="s">
        <v>72</v>
      </c>
      <c r="S196" s="8" t="s">
        <v>1236</v>
      </c>
      <c r="T196" s="8" t="s">
        <v>1236</v>
      </c>
      <c r="U196" s="8" t="s">
        <v>1236</v>
      </c>
      <c r="V196" s="8" t="s">
        <v>1129</v>
      </c>
    </row>
    <row r="197" spans="1:22" x14ac:dyDescent="0.2">
      <c r="A197" s="8" t="s">
        <v>816</v>
      </c>
      <c r="B197" s="8" t="s">
        <v>47</v>
      </c>
      <c r="C197" s="8" t="s">
        <v>817</v>
      </c>
      <c r="D197" s="8" t="s">
        <v>49</v>
      </c>
      <c r="E197" s="8" t="s">
        <v>1289</v>
      </c>
      <c r="F197" s="8" t="s">
        <v>361</v>
      </c>
      <c r="G197" s="8" t="s">
        <v>73</v>
      </c>
      <c r="H197" s="8" t="s">
        <v>661</v>
      </c>
      <c r="I197" s="8"/>
      <c r="J197" s="8" t="s">
        <v>571</v>
      </c>
      <c r="K197" s="8" t="s">
        <v>587</v>
      </c>
      <c r="L197" s="8" t="s">
        <v>573</v>
      </c>
      <c r="M197" s="8" t="s">
        <v>588</v>
      </c>
      <c r="N197" s="8" t="s">
        <v>274</v>
      </c>
      <c r="O197" s="8" t="s">
        <v>54</v>
      </c>
      <c r="P197" s="8" t="s">
        <v>55</v>
      </c>
      <c r="Q197" s="8" t="s">
        <v>56</v>
      </c>
      <c r="R197" s="8" t="s">
        <v>72</v>
      </c>
      <c r="S197" s="8" t="s">
        <v>1236</v>
      </c>
      <c r="T197" s="8" t="s">
        <v>1236</v>
      </c>
      <c r="U197" s="8" t="s">
        <v>1236</v>
      </c>
      <c r="V197" s="8" t="s">
        <v>1129</v>
      </c>
    </row>
    <row r="198" spans="1:22" x14ac:dyDescent="0.2">
      <c r="A198" s="8" t="s">
        <v>819</v>
      </c>
      <c r="B198" s="8" t="s">
        <v>47</v>
      </c>
      <c r="C198" s="8" t="s">
        <v>820</v>
      </c>
      <c r="D198" s="8" t="s">
        <v>49</v>
      </c>
      <c r="E198" s="8" t="s">
        <v>1290</v>
      </c>
      <c r="F198" s="8" t="s">
        <v>361</v>
      </c>
      <c r="G198" s="8" t="s">
        <v>73</v>
      </c>
      <c r="H198" s="8" t="s">
        <v>661</v>
      </c>
      <c r="I198" s="8"/>
      <c r="J198" s="8" t="s">
        <v>571</v>
      </c>
      <c r="K198" s="8" t="s">
        <v>587</v>
      </c>
      <c r="L198" s="8" t="s">
        <v>573</v>
      </c>
      <c r="M198" s="8" t="s">
        <v>588</v>
      </c>
      <c r="N198" s="8" t="s">
        <v>274</v>
      </c>
      <c r="O198" s="8" t="s">
        <v>54</v>
      </c>
      <c r="P198" s="8" t="s">
        <v>55</v>
      </c>
      <c r="Q198" s="8" t="s">
        <v>56</v>
      </c>
      <c r="R198" s="8" t="s">
        <v>72</v>
      </c>
      <c r="S198" s="8" t="s">
        <v>1236</v>
      </c>
      <c r="T198" s="8" t="s">
        <v>1236</v>
      </c>
      <c r="U198" s="8" t="s">
        <v>1236</v>
      </c>
      <c r="V198" s="8" t="s">
        <v>1129</v>
      </c>
    </row>
    <row r="199" spans="1:22" x14ac:dyDescent="0.2">
      <c r="A199" s="8" t="s">
        <v>822</v>
      </c>
      <c r="B199" s="8" t="s">
        <v>47</v>
      </c>
      <c r="C199" s="8" t="s">
        <v>823</v>
      </c>
      <c r="D199" s="8" t="s">
        <v>49</v>
      </c>
      <c r="E199" s="8" t="s">
        <v>1291</v>
      </c>
      <c r="F199" s="8" t="s">
        <v>825</v>
      </c>
      <c r="G199" s="8" t="s">
        <v>73</v>
      </c>
      <c r="H199" s="8" t="s">
        <v>1281</v>
      </c>
      <c r="I199" s="8"/>
      <c r="J199" s="8" t="s">
        <v>331</v>
      </c>
      <c r="K199" s="8" t="s">
        <v>826</v>
      </c>
      <c r="L199" s="8" t="s">
        <v>333</v>
      </c>
      <c r="M199" s="8" t="s">
        <v>827</v>
      </c>
      <c r="N199" s="8" t="s">
        <v>244</v>
      </c>
      <c r="O199" s="8" t="s">
        <v>54</v>
      </c>
      <c r="P199" s="8" t="s">
        <v>55</v>
      </c>
      <c r="Q199" s="8" t="s">
        <v>56</v>
      </c>
      <c r="R199" s="8" t="s">
        <v>72</v>
      </c>
      <c r="S199" s="8" t="s">
        <v>1292</v>
      </c>
      <c r="T199" s="8" t="s">
        <v>1292</v>
      </c>
      <c r="U199" s="8" t="s">
        <v>1292</v>
      </c>
      <c r="V199" s="8" t="s">
        <v>1129</v>
      </c>
    </row>
    <row r="200" spans="1:22" x14ac:dyDescent="0.2">
      <c r="A200" s="8" t="s">
        <v>828</v>
      </c>
      <c r="B200" s="8" t="s">
        <v>47</v>
      </c>
      <c r="C200" s="8" t="s">
        <v>829</v>
      </c>
      <c r="D200" s="8" t="s">
        <v>49</v>
      </c>
      <c r="E200" s="8" t="s">
        <v>1293</v>
      </c>
      <c r="F200" s="8" t="s">
        <v>825</v>
      </c>
      <c r="G200" s="8" t="s">
        <v>73</v>
      </c>
      <c r="H200" s="8" t="s">
        <v>1281</v>
      </c>
      <c r="I200" s="8"/>
      <c r="J200" s="8" t="s">
        <v>331</v>
      </c>
      <c r="K200" s="8" t="s">
        <v>826</v>
      </c>
      <c r="L200" s="8" t="s">
        <v>333</v>
      </c>
      <c r="M200" s="8" t="s">
        <v>827</v>
      </c>
      <c r="N200" s="8" t="s">
        <v>244</v>
      </c>
      <c r="O200" s="8" t="s">
        <v>54</v>
      </c>
      <c r="P200" s="8" t="s">
        <v>55</v>
      </c>
      <c r="Q200" s="8" t="s">
        <v>56</v>
      </c>
      <c r="R200" s="8" t="s">
        <v>72</v>
      </c>
      <c r="S200" s="8" t="s">
        <v>1292</v>
      </c>
      <c r="T200" s="8" t="s">
        <v>1292</v>
      </c>
      <c r="U200" s="8" t="s">
        <v>1292</v>
      </c>
      <c r="V200" s="8" t="s">
        <v>1129</v>
      </c>
    </row>
    <row r="201" spans="1:22" x14ac:dyDescent="0.2">
      <c r="A201" s="8" t="s">
        <v>831</v>
      </c>
      <c r="B201" s="8" t="s">
        <v>47</v>
      </c>
      <c r="C201" s="8" t="s">
        <v>832</v>
      </c>
      <c r="D201" s="8" t="s">
        <v>49</v>
      </c>
      <c r="E201" s="8" t="s">
        <v>1294</v>
      </c>
      <c r="F201" s="8" t="s">
        <v>825</v>
      </c>
      <c r="G201" s="8" t="s">
        <v>73</v>
      </c>
      <c r="H201" s="8" t="s">
        <v>1281</v>
      </c>
      <c r="I201" s="8"/>
      <c r="J201" s="8" t="s">
        <v>331</v>
      </c>
      <c r="K201" s="8" t="s">
        <v>826</v>
      </c>
      <c r="L201" s="8" t="s">
        <v>333</v>
      </c>
      <c r="M201" s="8" t="s">
        <v>827</v>
      </c>
      <c r="N201" s="8" t="s">
        <v>244</v>
      </c>
      <c r="O201" s="8" t="s">
        <v>54</v>
      </c>
      <c r="P201" s="8" t="s">
        <v>55</v>
      </c>
      <c r="Q201" s="8" t="s">
        <v>56</v>
      </c>
      <c r="R201" s="8" t="s">
        <v>72</v>
      </c>
      <c r="S201" s="8" t="s">
        <v>1292</v>
      </c>
      <c r="T201" s="8" t="s">
        <v>1292</v>
      </c>
      <c r="U201" s="8" t="s">
        <v>1292</v>
      </c>
      <c r="V201" s="8" t="s">
        <v>1129</v>
      </c>
    </row>
    <row r="202" spans="1:22" x14ac:dyDescent="0.2">
      <c r="A202" s="8" t="s">
        <v>834</v>
      </c>
      <c r="B202" s="8" t="s">
        <v>47</v>
      </c>
      <c r="C202" s="8" t="s">
        <v>835</v>
      </c>
      <c r="D202" s="8" t="s">
        <v>49</v>
      </c>
      <c r="E202" s="8" t="s">
        <v>1295</v>
      </c>
      <c r="F202" s="8" t="s">
        <v>361</v>
      </c>
      <c r="G202" s="8" t="s">
        <v>1</v>
      </c>
      <c r="H202" s="8"/>
      <c r="I202" s="8"/>
      <c r="J202" s="8" t="s">
        <v>571</v>
      </c>
      <c r="K202" s="8" t="s">
        <v>587</v>
      </c>
      <c r="L202" s="8" t="s">
        <v>573</v>
      </c>
      <c r="M202" s="8" t="s">
        <v>588</v>
      </c>
      <c r="N202" s="8" t="s">
        <v>274</v>
      </c>
      <c r="O202" s="8" t="s">
        <v>54</v>
      </c>
      <c r="P202" s="8" t="s">
        <v>55</v>
      </c>
      <c r="Q202" s="8" t="s">
        <v>56</v>
      </c>
      <c r="R202" s="8" t="s">
        <v>47</v>
      </c>
      <c r="S202" s="8" t="s">
        <v>1236</v>
      </c>
      <c r="T202" s="8" t="s">
        <v>1236</v>
      </c>
      <c r="U202" s="8" t="s">
        <v>1236</v>
      </c>
      <c r="V202" s="8"/>
    </row>
    <row r="203" spans="1:22" x14ac:dyDescent="0.2">
      <c r="A203" s="8" t="s">
        <v>837</v>
      </c>
      <c r="B203" s="8" t="s">
        <v>47</v>
      </c>
      <c r="C203" s="8" t="s">
        <v>838</v>
      </c>
      <c r="D203" s="8" t="s">
        <v>49</v>
      </c>
      <c r="E203" s="8" t="s">
        <v>1296</v>
      </c>
      <c r="F203" s="8" t="s">
        <v>361</v>
      </c>
      <c r="G203" s="8" t="s">
        <v>73</v>
      </c>
      <c r="H203" s="8" t="s">
        <v>661</v>
      </c>
      <c r="I203" s="8"/>
      <c r="J203" s="8" t="s">
        <v>571</v>
      </c>
      <c r="K203" s="8" t="s">
        <v>587</v>
      </c>
      <c r="L203" s="8" t="s">
        <v>573</v>
      </c>
      <c r="M203" s="8" t="s">
        <v>588</v>
      </c>
      <c r="N203" s="8" t="s">
        <v>274</v>
      </c>
      <c r="O203" s="8" t="s">
        <v>54</v>
      </c>
      <c r="P203" s="8" t="s">
        <v>55</v>
      </c>
      <c r="Q203" s="8" t="s">
        <v>56</v>
      </c>
      <c r="R203" s="8" t="s">
        <v>72</v>
      </c>
      <c r="S203" s="8" t="s">
        <v>1236</v>
      </c>
      <c r="T203" s="8" t="s">
        <v>1236</v>
      </c>
      <c r="U203" s="8" t="s">
        <v>1236</v>
      </c>
      <c r="V203" s="8" t="s">
        <v>1129</v>
      </c>
    </row>
    <row r="204" spans="1:22" x14ac:dyDescent="0.2">
      <c r="A204" s="8" t="s">
        <v>840</v>
      </c>
      <c r="B204" s="8" t="s">
        <v>47</v>
      </c>
      <c r="C204" s="8" t="s">
        <v>841</v>
      </c>
      <c r="D204" s="8" t="s">
        <v>49</v>
      </c>
      <c r="E204" s="8" t="s">
        <v>1297</v>
      </c>
      <c r="F204" s="8" t="s">
        <v>361</v>
      </c>
      <c r="G204" s="8" t="s">
        <v>57</v>
      </c>
      <c r="H204" s="8"/>
      <c r="I204" s="8"/>
      <c r="J204" s="8" t="s">
        <v>571</v>
      </c>
      <c r="K204" s="8" t="s">
        <v>587</v>
      </c>
      <c r="L204" s="8" t="s">
        <v>573</v>
      </c>
      <c r="M204" s="8" t="s">
        <v>588</v>
      </c>
      <c r="N204" s="8" t="s">
        <v>274</v>
      </c>
      <c r="O204" s="8" t="s">
        <v>54</v>
      </c>
      <c r="P204" s="8" t="s">
        <v>55</v>
      </c>
      <c r="Q204" s="8" t="s">
        <v>56</v>
      </c>
      <c r="R204" s="8" t="s">
        <v>47</v>
      </c>
      <c r="S204" s="8" t="s">
        <v>1236</v>
      </c>
      <c r="T204" s="8" t="s">
        <v>1236</v>
      </c>
      <c r="U204" s="8" t="s">
        <v>1236</v>
      </c>
      <c r="V204" s="8"/>
    </row>
    <row r="205" spans="1:22" x14ac:dyDescent="0.2">
      <c r="A205" s="8" t="s">
        <v>843</v>
      </c>
      <c r="B205" s="8" t="s">
        <v>47</v>
      </c>
      <c r="C205" s="8" t="s">
        <v>844</v>
      </c>
      <c r="D205" s="8" t="s">
        <v>49</v>
      </c>
      <c r="E205" s="8" t="s">
        <v>1298</v>
      </c>
      <c r="F205" s="8" t="s">
        <v>361</v>
      </c>
      <c r="G205" s="8" t="s">
        <v>1</v>
      </c>
      <c r="H205" s="8" t="s">
        <v>661</v>
      </c>
      <c r="I205" s="8"/>
      <c r="J205" s="8" t="s">
        <v>571</v>
      </c>
      <c r="K205" s="8" t="s">
        <v>587</v>
      </c>
      <c r="L205" s="8" t="s">
        <v>573</v>
      </c>
      <c r="M205" s="8" t="s">
        <v>588</v>
      </c>
      <c r="N205" s="8" t="s">
        <v>274</v>
      </c>
      <c r="O205" s="8" t="s">
        <v>54</v>
      </c>
      <c r="P205" s="8" t="s">
        <v>55</v>
      </c>
      <c r="Q205" s="8" t="s">
        <v>56</v>
      </c>
      <c r="R205" s="8" t="s">
        <v>72</v>
      </c>
      <c r="S205" s="8" t="s">
        <v>1236</v>
      </c>
      <c r="T205" s="8" t="s">
        <v>1236</v>
      </c>
      <c r="U205" s="8" t="s">
        <v>1236</v>
      </c>
      <c r="V205" s="8" t="s">
        <v>1129</v>
      </c>
    </row>
    <row r="206" spans="1:22" x14ac:dyDescent="0.2">
      <c r="A206" s="8" t="s">
        <v>846</v>
      </c>
      <c r="B206" s="8" t="s">
        <v>47</v>
      </c>
      <c r="C206" s="8" t="s">
        <v>847</v>
      </c>
      <c r="D206" s="8" t="s">
        <v>49</v>
      </c>
      <c r="E206" s="8" t="s">
        <v>1299</v>
      </c>
      <c r="F206" s="8" t="s">
        <v>361</v>
      </c>
      <c r="G206" s="8" t="s">
        <v>1</v>
      </c>
      <c r="H206" s="8" t="s">
        <v>661</v>
      </c>
      <c r="I206" s="8"/>
      <c r="J206" s="8" t="s">
        <v>571</v>
      </c>
      <c r="K206" s="8" t="s">
        <v>587</v>
      </c>
      <c r="L206" s="8" t="s">
        <v>573</v>
      </c>
      <c r="M206" s="8" t="s">
        <v>588</v>
      </c>
      <c r="N206" s="8" t="s">
        <v>274</v>
      </c>
      <c r="O206" s="8" t="s">
        <v>54</v>
      </c>
      <c r="P206" s="8" t="s">
        <v>55</v>
      </c>
      <c r="Q206" s="8" t="s">
        <v>56</v>
      </c>
      <c r="R206" s="8" t="s">
        <v>72</v>
      </c>
      <c r="S206" s="8" t="s">
        <v>1236</v>
      </c>
      <c r="T206" s="8" t="s">
        <v>1236</v>
      </c>
      <c r="U206" s="8" t="s">
        <v>1236</v>
      </c>
      <c r="V206" s="8" t="s">
        <v>1129</v>
      </c>
    </row>
    <row r="207" spans="1:22" x14ac:dyDescent="0.2">
      <c r="A207" s="8" t="s">
        <v>849</v>
      </c>
      <c r="B207" s="8" t="s">
        <v>47</v>
      </c>
      <c r="C207" s="8" t="s">
        <v>850</v>
      </c>
      <c r="D207" s="8" t="s">
        <v>49</v>
      </c>
      <c r="E207" s="8" t="s">
        <v>1300</v>
      </c>
      <c r="F207" s="8" t="s">
        <v>361</v>
      </c>
      <c r="G207" s="8" t="s">
        <v>1</v>
      </c>
      <c r="H207" s="8" t="s">
        <v>661</v>
      </c>
      <c r="I207" s="8"/>
      <c r="J207" s="8" t="s">
        <v>571</v>
      </c>
      <c r="K207" s="8" t="s">
        <v>587</v>
      </c>
      <c r="L207" s="8" t="s">
        <v>573</v>
      </c>
      <c r="M207" s="8" t="s">
        <v>588</v>
      </c>
      <c r="N207" s="8" t="s">
        <v>274</v>
      </c>
      <c r="O207" s="8" t="s">
        <v>54</v>
      </c>
      <c r="P207" s="8" t="s">
        <v>55</v>
      </c>
      <c r="Q207" s="8" t="s">
        <v>56</v>
      </c>
      <c r="R207" s="8" t="s">
        <v>72</v>
      </c>
      <c r="S207" s="8" t="s">
        <v>1236</v>
      </c>
      <c r="T207" s="8" t="s">
        <v>1236</v>
      </c>
      <c r="U207" s="8" t="s">
        <v>1236</v>
      </c>
      <c r="V207" s="8" t="s">
        <v>1129</v>
      </c>
    </row>
    <row r="208" spans="1:22" x14ac:dyDescent="0.2">
      <c r="A208" s="8" t="s">
        <v>852</v>
      </c>
      <c r="B208" s="8" t="s">
        <v>47</v>
      </c>
      <c r="C208" s="8" t="s">
        <v>853</v>
      </c>
      <c r="D208" s="8" t="s">
        <v>49</v>
      </c>
      <c r="E208" s="8" t="s">
        <v>1301</v>
      </c>
      <c r="F208" s="8" t="s">
        <v>361</v>
      </c>
      <c r="G208" s="8" t="s">
        <v>1</v>
      </c>
      <c r="H208" s="8" t="s">
        <v>661</v>
      </c>
      <c r="I208" s="8"/>
      <c r="J208" s="8" t="s">
        <v>571</v>
      </c>
      <c r="K208" s="8" t="s">
        <v>587</v>
      </c>
      <c r="L208" s="8" t="s">
        <v>573</v>
      </c>
      <c r="M208" s="8" t="s">
        <v>588</v>
      </c>
      <c r="N208" s="8" t="s">
        <v>274</v>
      </c>
      <c r="O208" s="8" t="s">
        <v>54</v>
      </c>
      <c r="P208" s="8" t="s">
        <v>55</v>
      </c>
      <c r="Q208" s="8" t="s">
        <v>56</v>
      </c>
      <c r="R208" s="8" t="s">
        <v>72</v>
      </c>
      <c r="S208" s="8" t="s">
        <v>1236</v>
      </c>
      <c r="T208" s="8" t="s">
        <v>1236</v>
      </c>
      <c r="U208" s="8" t="s">
        <v>1236</v>
      </c>
      <c r="V208" s="8" t="s">
        <v>1165</v>
      </c>
    </row>
    <row r="209" spans="1:22" x14ac:dyDescent="0.2">
      <c r="A209" s="8" t="s">
        <v>855</v>
      </c>
      <c r="B209" s="8" t="s">
        <v>47</v>
      </c>
      <c r="C209" s="8" t="s">
        <v>856</v>
      </c>
      <c r="D209" s="8" t="s">
        <v>49</v>
      </c>
      <c r="E209" s="8" t="s">
        <v>1302</v>
      </c>
      <c r="F209" s="8" t="s">
        <v>745</v>
      </c>
      <c r="G209" s="8" t="s">
        <v>57</v>
      </c>
      <c r="H209" s="8"/>
      <c r="I209" s="8"/>
      <c r="J209" s="8" t="s">
        <v>331</v>
      </c>
      <c r="K209" s="8" t="s">
        <v>746</v>
      </c>
      <c r="L209" s="8" t="s">
        <v>333</v>
      </c>
      <c r="M209" s="8" t="s">
        <v>747</v>
      </c>
      <c r="N209" s="8" t="s">
        <v>159</v>
      </c>
      <c r="O209" s="8" t="s">
        <v>54</v>
      </c>
      <c r="P209" s="8" t="s">
        <v>55</v>
      </c>
      <c r="Q209" s="8" t="s">
        <v>56</v>
      </c>
      <c r="R209" s="8" t="s">
        <v>47</v>
      </c>
      <c r="S209" s="8" t="s">
        <v>1279</v>
      </c>
      <c r="T209" s="8" t="s">
        <v>1279</v>
      </c>
      <c r="U209" s="8" t="s">
        <v>1279</v>
      </c>
      <c r="V209" s="8"/>
    </row>
    <row r="210" spans="1:22" x14ac:dyDescent="0.2">
      <c r="A210" s="8" t="s">
        <v>858</v>
      </c>
      <c r="B210" s="8" t="s">
        <v>47</v>
      </c>
      <c r="C210" s="8" t="s">
        <v>859</v>
      </c>
      <c r="D210" s="8" t="s">
        <v>49</v>
      </c>
      <c r="E210" s="8" t="s">
        <v>1303</v>
      </c>
      <c r="F210" s="8" t="s">
        <v>861</v>
      </c>
      <c r="G210" s="8" t="s">
        <v>1</v>
      </c>
      <c r="H210" s="8"/>
      <c r="I210" s="8"/>
      <c r="J210" s="8" t="s">
        <v>371</v>
      </c>
      <c r="K210" s="8" t="s">
        <v>862</v>
      </c>
      <c r="L210" s="8" t="s">
        <v>92</v>
      </c>
      <c r="M210" s="8" t="s">
        <v>863</v>
      </c>
      <c r="N210" s="8" t="s">
        <v>114</v>
      </c>
      <c r="O210" s="8" t="s">
        <v>54</v>
      </c>
      <c r="P210" s="8" t="s">
        <v>55</v>
      </c>
      <c r="Q210" s="8" t="s">
        <v>56</v>
      </c>
      <c r="R210" s="8" t="s">
        <v>47</v>
      </c>
      <c r="S210" s="8" t="s">
        <v>1304</v>
      </c>
      <c r="T210" s="8" t="s">
        <v>1305</v>
      </c>
      <c r="U210" s="8" t="s">
        <v>1305</v>
      </c>
      <c r="V210" s="8"/>
    </row>
    <row r="211" spans="1:22" x14ac:dyDescent="0.2">
      <c r="A211" s="8" t="s">
        <v>864</v>
      </c>
      <c r="B211" s="8" t="s">
        <v>47</v>
      </c>
      <c r="C211" s="8" t="s">
        <v>865</v>
      </c>
      <c r="D211" s="8" t="s">
        <v>49</v>
      </c>
      <c r="E211" s="8" t="s">
        <v>1306</v>
      </c>
      <c r="F211" s="8" t="s">
        <v>83</v>
      </c>
      <c r="G211" s="8" t="s">
        <v>73</v>
      </c>
      <c r="H211" s="8" t="s">
        <v>1307</v>
      </c>
      <c r="I211" s="8"/>
      <c r="J211" s="8" t="s">
        <v>592</v>
      </c>
      <c r="K211" s="8" t="s">
        <v>862</v>
      </c>
      <c r="L211" s="8" t="s">
        <v>61</v>
      </c>
      <c r="M211" s="8" t="s">
        <v>863</v>
      </c>
      <c r="N211" s="8" t="s">
        <v>114</v>
      </c>
      <c r="O211" s="8" t="s">
        <v>54</v>
      </c>
      <c r="P211" s="8" t="s">
        <v>55</v>
      </c>
      <c r="Q211" s="8" t="s">
        <v>56</v>
      </c>
      <c r="R211" s="8" t="s">
        <v>72</v>
      </c>
      <c r="S211" s="8" t="s">
        <v>1305</v>
      </c>
      <c r="T211" s="8" t="s">
        <v>1305</v>
      </c>
      <c r="U211" s="8" t="s">
        <v>1305</v>
      </c>
      <c r="V211" s="8" t="s">
        <v>1134</v>
      </c>
    </row>
    <row r="212" spans="1:22" x14ac:dyDescent="0.2">
      <c r="A212" s="8" t="s">
        <v>867</v>
      </c>
      <c r="B212" s="8" t="s">
        <v>47</v>
      </c>
      <c r="C212" s="8" t="s">
        <v>868</v>
      </c>
      <c r="D212" s="8" t="s">
        <v>49</v>
      </c>
      <c r="E212" s="8" t="s">
        <v>1308</v>
      </c>
      <c r="F212" s="8" t="s">
        <v>83</v>
      </c>
      <c r="G212" s="8" t="s">
        <v>73</v>
      </c>
      <c r="H212" s="8" t="s">
        <v>1307</v>
      </c>
      <c r="I212" s="8"/>
      <c r="J212" s="8" t="s">
        <v>592</v>
      </c>
      <c r="K212" s="8" t="s">
        <v>862</v>
      </c>
      <c r="L212" s="8" t="s">
        <v>61</v>
      </c>
      <c r="M212" s="8" t="s">
        <v>863</v>
      </c>
      <c r="N212" s="8" t="s">
        <v>114</v>
      </c>
      <c r="O212" s="8" t="s">
        <v>54</v>
      </c>
      <c r="P212" s="8" t="s">
        <v>55</v>
      </c>
      <c r="Q212" s="8" t="s">
        <v>56</v>
      </c>
      <c r="R212" s="8" t="s">
        <v>72</v>
      </c>
      <c r="S212" s="8" t="s">
        <v>1305</v>
      </c>
      <c r="T212" s="8" t="s">
        <v>1305</v>
      </c>
      <c r="U212" s="8" t="s">
        <v>1305</v>
      </c>
      <c r="V212" s="8" t="s">
        <v>1134</v>
      </c>
    </row>
    <row r="213" spans="1:22" x14ac:dyDescent="0.2">
      <c r="A213" s="8" t="s">
        <v>870</v>
      </c>
      <c r="B213" s="8" t="s">
        <v>47</v>
      </c>
      <c r="C213" s="8" t="s">
        <v>871</v>
      </c>
      <c r="D213" s="8" t="s">
        <v>49</v>
      </c>
      <c r="E213" s="8" t="s">
        <v>1309</v>
      </c>
      <c r="F213" s="8" t="s">
        <v>83</v>
      </c>
      <c r="G213" s="8" t="s">
        <v>73</v>
      </c>
      <c r="H213" s="8" t="s">
        <v>1310</v>
      </c>
      <c r="I213" s="8"/>
      <c r="J213" s="8" t="s">
        <v>873</v>
      </c>
      <c r="K213" s="8" t="s">
        <v>468</v>
      </c>
      <c r="L213" s="8" t="s">
        <v>874</v>
      </c>
      <c r="M213" s="8" t="s">
        <v>469</v>
      </c>
      <c r="N213" s="8" t="s">
        <v>114</v>
      </c>
      <c r="O213" s="8" t="s">
        <v>54</v>
      </c>
      <c r="P213" s="8" t="s">
        <v>55</v>
      </c>
      <c r="Q213" s="8" t="s">
        <v>56</v>
      </c>
      <c r="R213" s="8" t="s">
        <v>72</v>
      </c>
      <c r="S213" s="8" t="s">
        <v>1204</v>
      </c>
      <c r="T213" s="8" t="s">
        <v>1204</v>
      </c>
      <c r="U213" s="8" t="s">
        <v>1204</v>
      </c>
      <c r="V213" s="8" t="s">
        <v>1134</v>
      </c>
    </row>
    <row r="214" spans="1:22" x14ac:dyDescent="0.2">
      <c r="A214" s="8" t="s">
        <v>875</v>
      </c>
      <c r="B214" s="8" t="s">
        <v>47</v>
      </c>
      <c r="C214" s="8" t="s">
        <v>876</v>
      </c>
      <c r="D214" s="8" t="s">
        <v>49</v>
      </c>
      <c r="E214" s="8" t="s">
        <v>1311</v>
      </c>
      <c r="F214" s="8" t="s">
        <v>83</v>
      </c>
      <c r="G214" s="8" t="s">
        <v>73</v>
      </c>
      <c r="H214" s="8" t="s">
        <v>1312</v>
      </c>
      <c r="I214" s="8"/>
      <c r="J214" s="8" t="s">
        <v>878</v>
      </c>
      <c r="K214" s="8" t="s">
        <v>462</v>
      </c>
      <c r="L214" s="8" t="s">
        <v>100</v>
      </c>
      <c r="M214" s="8" t="s">
        <v>463</v>
      </c>
      <c r="N214" s="8" t="s">
        <v>114</v>
      </c>
      <c r="O214" s="8" t="s">
        <v>54</v>
      </c>
      <c r="P214" s="8" t="s">
        <v>55</v>
      </c>
      <c r="Q214" s="8" t="s">
        <v>56</v>
      </c>
      <c r="R214" s="8" t="s">
        <v>72</v>
      </c>
      <c r="S214" s="8" t="s">
        <v>1313</v>
      </c>
      <c r="T214" s="8" t="s">
        <v>1313</v>
      </c>
      <c r="U214" s="8" t="s">
        <v>1313</v>
      </c>
      <c r="V214" s="8" t="s">
        <v>1134</v>
      </c>
    </row>
    <row r="215" spans="1:22" x14ac:dyDescent="0.2">
      <c r="A215" s="8" t="s">
        <v>879</v>
      </c>
      <c r="B215" s="8" t="s">
        <v>47</v>
      </c>
      <c r="C215" s="8" t="s">
        <v>880</v>
      </c>
      <c r="D215" s="8" t="s">
        <v>49</v>
      </c>
      <c r="E215" s="8" t="s">
        <v>1314</v>
      </c>
      <c r="F215" s="8" t="s">
        <v>83</v>
      </c>
      <c r="G215" s="8" t="s">
        <v>73</v>
      </c>
      <c r="H215" s="8" t="s">
        <v>358</v>
      </c>
      <c r="I215" s="8"/>
      <c r="J215" s="8" t="s">
        <v>371</v>
      </c>
      <c r="K215" s="8" t="s">
        <v>882</v>
      </c>
      <c r="L215" s="8" t="s">
        <v>92</v>
      </c>
      <c r="M215" s="8" t="s">
        <v>883</v>
      </c>
      <c r="N215" s="8" t="s">
        <v>114</v>
      </c>
      <c r="O215" s="8" t="s">
        <v>54</v>
      </c>
      <c r="P215" s="8" t="s">
        <v>55</v>
      </c>
      <c r="Q215" s="8" t="s">
        <v>56</v>
      </c>
      <c r="R215" s="8" t="s">
        <v>72</v>
      </c>
      <c r="S215" s="8" t="s">
        <v>1304</v>
      </c>
      <c r="T215" s="8" t="s">
        <v>1304</v>
      </c>
      <c r="U215" s="8" t="s">
        <v>1304</v>
      </c>
      <c r="V215" s="8" t="s">
        <v>1134</v>
      </c>
    </row>
    <row r="216" spans="1:22" x14ac:dyDescent="0.2">
      <c r="A216" s="8" t="s">
        <v>884</v>
      </c>
      <c r="B216" s="8" t="s">
        <v>47</v>
      </c>
      <c r="C216" s="8" t="s">
        <v>885</v>
      </c>
      <c r="D216" s="8" t="s">
        <v>49</v>
      </c>
      <c r="E216" s="8" t="s">
        <v>1315</v>
      </c>
      <c r="F216" s="8" t="s">
        <v>887</v>
      </c>
      <c r="G216" s="8" t="s">
        <v>1</v>
      </c>
      <c r="H216" s="8"/>
      <c r="I216" s="8"/>
      <c r="J216" s="8" t="s">
        <v>888</v>
      </c>
      <c r="K216" s="8" t="s">
        <v>862</v>
      </c>
      <c r="L216" s="8" t="s">
        <v>236</v>
      </c>
      <c r="M216" s="8" t="s">
        <v>863</v>
      </c>
      <c r="N216" s="8" t="s">
        <v>197</v>
      </c>
      <c r="O216" s="8" t="s">
        <v>54</v>
      </c>
      <c r="P216" s="8" t="s">
        <v>55</v>
      </c>
      <c r="Q216" s="8" t="s">
        <v>56</v>
      </c>
      <c r="R216" s="8" t="s">
        <v>47</v>
      </c>
      <c r="S216" s="8" t="s">
        <v>1304</v>
      </c>
      <c r="T216" s="8" t="s">
        <v>1305</v>
      </c>
      <c r="U216" s="8" t="s">
        <v>1305</v>
      </c>
      <c r="V216" s="8"/>
    </row>
    <row r="217" spans="1:22" x14ac:dyDescent="0.2">
      <c r="A217" s="8" t="s">
        <v>889</v>
      </c>
      <c r="B217" s="8" t="s">
        <v>47</v>
      </c>
      <c r="C217" s="8" t="s">
        <v>890</v>
      </c>
      <c r="D217" s="8" t="s">
        <v>49</v>
      </c>
      <c r="E217" s="8" t="s">
        <v>1316</v>
      </c>
      <c r="F217" s="8" t="s">
        <v>194</v>
      </c>
      <c r="G217" s="8" t="s">
        <v>73</v>
      </c>
      <c r="H217" s="8" t="s">
        <v>1317</v>
      </c>
      <c r="I217" s="8"/>
      <c r="J217" s="8" t="s">
        <v>892</v>
      </c>
      <c r="K217" s="8" t="s">
        <v>862</v>
      </c>
      <c r="L217" s="8" t="s">
        <v>893</v>
      </c>
      <c r="M217" s="8" t="s">
        <v>863</v>
      </c>
      <c r="N217" s="8" t="s">
        <v>197</v>
      </c>
      <c r="O217" s="8" t="s">
        <v>54</v>
      </c>
      <c r="P217" s="8" t="s">
        <v>55</v>
      </c>
      <c r="Q217" s="8" t="s">
        <v>56</v>
      </c>
      <c r="R217" s="8" t="s">
        <v>72</v>
      </c>
      <c r="S217" s="8" t="s">
        <v>1305</v>
      </c>
      <c r="T217" s="8" t="s">
        <v>1305</v>
      </c>
      <c r="U217" s="8" t="s">
        <v>1305</v>
      </c>
      <c r="V217" s="8" t="s">
        <v>1134</v>
      </c>
    </row>
    <row r="218" spans="1:22" x14ac:dyDescent="0.2">
      <c r="A218" s="8" t="s">
        <v>894</v>
      </c>
      <c r="B218" s="8" t="s">
        <v>47</v>
      </c>
      <c r="C218" s="8" t="s">
        <v>895</v>
      </c>
      <c r="D218" s="8" t="s">
        <v>49</v>
      </c>
      <c r="E218" s="8" t="s">
        <v>1318</v>
      </c>
      <c r="F218" s="8" t="s">
        <v>194</v>
      </c>
      <c r="G218" s="8" t="s">
        <v>73</v>
      </c>
      <c r="H218" s="8" t="s">
        <v>1319</v>
      </c>
      <c r="I218" s="8"/>
      <c r="J218" s="8" t="s">
        <v>897</v>
      </c>
      <c r="K218" s="8" t="s">
        <v>468</v>
      </c>
      <c r="L218" s="8" t="s">
        <v>107</v>
      </c>
      <c r="M218" s="8" t="s">
        <v>469</v>
      </c>
      <c r="N218" s="8" t="s">
        <v>197</v>
      </c>
      <c r="O218" s="8" t="s">
        <v>54</v>
      </c>
      <c r="P218" s="8" t="s">
        <v>55</v>
      </c>
      <c r="Q218" s="8" t="s">
        <v>56</v>
      </c>
      <c r="R218" s="8" t="s">
        <v>72</v>
      </c>
      <c r="S218" s="8" t="s">
        <v>1204</v>
      </c>
      <c r="T218" s="8" t="s">
        <v>1204</v>
      </c>
      <c r="U218" s="8" t="s">
        <v>1204</v>
      </c>
      <c r="V218" s="8" t="s">
        <v>1134</v>
      </c>
    </row>
    <row r="219" spans="1:22" x14ac:dyDescent="0.2">
      <c r="A219" s="8" t="s">
        <v>898</v>
      </c>
      <c r="B219" s="8" t="s">
        <v>47</v>
      </c>
      <c r="C219" s="8" t="s">
        <v>899</v>
      </c>
      <c r="D219" s="8" t="s">
        <v>49</v>
      </c>
      <c r="E219" s="8" t="s">
        <v>1320</v>
      </c>
      <c r="F219" s="8" t="s">
        <v>194</v>
      </c>
      <c r="G219" s="8" t="s">
        <v>73</v>
      </c>
      <c r="H219" s="8" t="s">
        <v>1321</v>
      </c>
      <c r="I219" s="8"/>
      <c r="J219" s="8" t="s">
        <v>901</v>
      </c>
      <c r="K219" s="8" t="s">
        <v>462</v>
      </c>
      <c r="L219" s="8" t="s">
        <v>902</v>
      </c>
      <c r="M219" s="8" t="s">
        <v>463</v>
      </c>
      <c r="N219" s="8" t="s">
        <v>197</v>
      </c>
      <c r="O219" s="8" t="s">
        <v>54</v>
      </c>
      <c r="P219" s="8" t="s">
        <v>55</v>
      </c>
      <c r="Q219" s="8" t="s">
        <v>56</v>
      </c>
      <c r="R219" s="8" t="s">
        <v>72</v>
      </c>
      <c r="S219" s="8" t="s">
        <v>1313</v>
      </c>
      <c r="T219" s="8" t="s">
        <v>1313</v>
      </c>
      <c r="U219" s="8" t="s">
        <v>1313</v>
      </c>
      <c r="V219" s="8" t="s">
        <v>1134</v>
      </c>
    </row>
    <row r="220" spans="1:22" x14ac:dyDescent="0.2">
      <c r="A220" s="8" t="s">
        <v>903</v>
      </c>
      <c r="B220" s="8" t="s">
        <v>47</v>
      </c>
      <c r="C220" s="8" t="s">
        <v>904</v>
      </c>
      <c r="D220" s="8" t="s">
        <v>49</v>
      </c>
      <c r="E220" s="8" t="s">
        <v>1322</v>
      </c>
      <c r="F220" s="8" t="s">
        <v>194</v>
      </c>
      <c r="G220" s="8" t="s">
        <v>73</v>
      </c>
      <c r="H220" s="8" t="s">
        <v>1323</v>
      </c>
      <c r="I220" s="8"/>
      <c r="J220" s="8" t="s">
        <v>888</v>
      </c>
      <c r="K220" s="8" t="s">
        <v>882</v>
      </c>
      <c r="L220" s="8" t="s">
        <v>236</v>
      </c>
      <c r="M220" s="8" t="s">
        <v>883</v>
      </c>
      <c r="N220" s="8" t="s">
        <v>197</v>
      </c>
      <c r="O220" s="8" t="s">
        <v>54</v>
      </c>
      <c r="P220" s="8" t="s">
        <v>55</v>
      </c>
      <c r="Q220" s="8" t="s">
        <v>56</v>
      </c>
      <c r="R220" s="8" t="s">
        <v>72</v>
      </c>
      <c r="S220" s="8" t="s">
        <v>1304</v>
      </c>
      <c r="T220" s="8" t="s">
        <v>1304</v>
      </c>
      <c r="U220" s="8" t="s">
        <v>1304</v>
      </c>
      <c r="V220" s="8" t="s">
        <v>1134</v>
      </c>
    </row>
    <row r="221" spans="1:22" x14ac:dyDescent="0.2">
      <c r="A221" s="8" t="s">
        <v>906</v>
      </c>
      <c r="B221" s="8" t="s">
        <v>47</v>
      </c>
      <c r="C221" s="8" t="s">
        <v>907</v>
      </c>
      <c r="D221" s="8" t="s">
        <v>49</v>
      </c>
      <c r="E221" s="8" t="s">
        <v>1324</v>
      </c>
      <c r="F221" s="8" t="s">
        <v>861</v>
      </c>
      <c r="G221" s="8" t="s">
        <v>1</v>
      </c>
      <c r="H221" s="8"/>
      <c r="I221" s="8"/>
      <c r="J221" s="8" t="s">
        <v>371</v>
      </c>
      <c r="K221" s="8" t="s">
        <v>862</v>
      </c>
      <c r="L221" s="8" t="s">
        <v>92</v>
      </c>
      <c r="M221" s="8" t="s">
        <v>863</v>
      </c>
      <c r="N221" s="8" t="s">
        <v>114</v>
      </c>
      <c r="O221" s="8" t="s">
        <v>54</v>
      </c>
      <c r="P221" s="8" t="s">
        <v>55</v>
      </c>
      <c r="Q221" s="8" t="s">
        <v>56</v>
      </c>
      <c r="R221" s="8" t="s">
        <v>47</v>
      </c>
      <c r="S221" s="8" t="s">
        <v>1304</v>
      </c>
      <c r="T221" s="8" t="s">
        <v>1305</v>
      </c>
      <c r="U221" s="8" t="s">
        <v>1305</v>
      </c>
      <c r="V221" s="8"/>
    </row>
    <row r="222" spans="1:22" x14ac:dyDescent="0.2">
      <c r="A222" s="8" t="s">
        <v>909</v>
      </c>
      <c r="B222" s="8" t="s">
        <v>47</v>
      </c>
      <c r="C222" s="8" t="s">
        <v>910</v>
      </c>
      <c r="D222" s="8" t="s">
        <v>49</v>
      </c>
      <c r="E222" s="8" t="s">
        <v>1325</v>
      </c>
      <c r="F222" s="8" t="s">
        <v>83</v>
      </c>
      <c r="G222" s="8" t="s">
        <v>73</v>
      </c>
      <c r="H222" s="8" t="s">
        <v>1307</v>
      </c>
      <c r="I222" s="8"/>
      <c r="J222" s="8" t="s">
        <v>592</v>
      </c>
      <c r="K222" s="8" t="s">
        <v>862</v>
      </c>
      <c r="L222" s="8" t="s">
        <v>61</v>
      </c>
      <c r="M222" s="8" t="s">
        <v>863</v>
      </c>
      <c r="N222" s="8" t="s">
        <v>114</v>
      </c>
      <c r="O222" s="8" t="s">
        <v>54</v>
      </c>
      <c r="P222" s="8" t="s">
        <v>55</v>
      </c>
      <c r="Q222" s="8" t="s">
        <v>56</v>
      </c>
      <c r="R222" s="8" t="s">
        <v>72</v>
      </c>
      <c r="S222" s="8" t="s">
        <v>1305</v>
      </c>
      <c r="T222" s="8" t="s">
        <v>1305</v>
      </c>
      <c r="U222" s="8" t="s">
        <v>1305</v>
      </c>
      <c r="V222" s="8" t="s">
        <v>1134</v>
      </c>
    </row>
    <row r="223" spans="1:22" x14ac:dyDescent="0.2">
      <c r="A223" s="8" t="s">
        <v>912</v>
      </c>
      <c r="B223" s="8" t="s">
        <v>47</v>
      </c>
      <c r="C223" s="8" t="s">
        <v>913</v>
      </c>
      <c r="D223" s="8" t="s">
        <v>49</v>
      </c>
      <c r="E223" s="8" t="s">
        <v>1326</v>
      </c>
      <c r="F223" s="8" t="s">
        <v>83</v>
      </c>
      <c r="G223" s="8" t="s">
        <v>73</v>
      </c>
      <c r="H223" s="8" t="s">
        <v>1310</v>
      </c>
      <c r="I223" s="8"/>
      <c r="J223" s="8" t="s">
        <v>873</v>
      </c>
      <c r="K223" s="8" t="s">
        <v>468</v>
      </c>
      <c r="L223" s="8" t="s">
        <v>874</v>
      </c>
      <c r="M223" s="8" t="s">
        <v>469</v>
      </c>
      <c r="N223" s="8" t="s">
        <v>114</v>
      </c>
      <c r="O223" s="8" t="s">
        <v>54</v>
      </c>
      <c r="P223" s="8" t="s">
        <v>55</v>
      </c>
      <c r="Q223" s="8" t="s">
        <v>56</v>
      </c>
      <c r="R223" s="8" t="s">
        <v>72</v>
      </c>
      <c r="S223" s="8" t="s">
        <v>1204</v>
      </c>
      <c r="T223" s="8" t="s">
        <v>1204</v>
      </c>
      <c r="U223" s="8" t="s">
        <v>1204</v>
      </c>
      <c r="V223" s="8" t="s">
        <v>1134</v>
      </c>
    </row>
    <row r="224" spans="1:22" x14ac:dyDescent="0.2">
      <c r="A224" s="8" t="s">
        <v>915</v>
      </c>
      <c r="B224" s="8" t="s">
        <v>47</v>
      </c>
      <c r="C224" s="8" t="s">
        <v>916</v>
      </c>
      <c r="D224" s="8" t="s">
        <v>49</v>
      </c>
      <c r="E224" s="8" t="s">
        <v>1327</v>
      </c>
      <c r="F224" s="8" t="s">
        <v>83</v>
      </c>
      <c r="G224" s="8" t="s">
        <v>73</v>
      </c>
      <c r="H224" s="8" t="s">
        <v>1312</v>
      </c>
      <c r="I224" s="8"/>
      <c r="J224" s="8" t="s">
        <v>878</v>
      </c>
      <c r="K224" s="8" t="s">
        <v>462</v>
      </c>
      <c r="L224" s="8" t="s">
        <v>100</v>
      </c>
      <c r="M224" s="8" t="s">
        <v>463</v>
      </c>
      <c r="N224" s="8" t="s">
        <v>114</v>
      </c>
      <c r="O224" s="8" t="s">
        <v>54</v>
      </c>
      <c r="P224" s="8" t="s">
        <v>55</v>
      </c>
      <c r="Q224" s="8" t="s">
        <v>56</v>
      </c>
      <c r="R224" s="8" t="s">
        <v>72</v>
      </c>
      <c r="S224" s="8" t="s">
        <v>1313</v>
      </c>
      <c r="T224" s="8" t="s">
        <v>1313</v>
      </c>
      <c r="U224" s="8" t="s">
        <v>1313</v>
      </c>
      <c r="V224" s="8" t="s">
        <v>1134</v>
      </c>
    </row>
    <row r="225" spans="1:22" x14ac:dyDescent="0.2">
      <c r="A225" s="8" t="s">
        <v>918</v>
      </c>
      <c r="B225" s="8" t="s">
        <v>47</v>
      </c>
      <c r="C225" s="8" t="s">
        <v>919</v>
      </c>
      <c r="D225" s="8" t="s">
        <v>49</v>
      </c>
      <c r="E225" s="8" t="s">
        <v>1328</v>
      </c>
      <c r="F225" s="8" t="s">
        <v>83</v>
      </c>
      <c r="G225" s="8" t="s">
        <v>73</v>
      </c>
      <c r="H225" s="8" t="s">
        <v>358</v>
      </c>
      <c r="I225" s="8"/>
      <c r="J225" s="8" t="s">
        <v>371</v>
      </c>
      <c r="K225" s="8" t="s">
        <v>882</v>
      </c>
      <c r="L225" s="8" t="s">
        <v>92</v>
      </c>
      <c r="M225" s="8" t="s">
        <v>883</v>
      </c>
      <c r="N225" s="8" t="s">
        <v>114</v>
      </c>
      <c r="O225" s="8" t="s">
        <v>54</v>
      </c>
      <c r="P225" s="8" t="s">
        <v>55</v>
      </c>
      <c r="Q225" s="8" t="s">
        <v>56</v>
      </c>
      <c r="R225" s="8" t="s">
        <v>72</v>
      </c>
      <c r="S225" s="8" t="s">
        <v>1304</v>
      </c>
      <c r="T225" s="8" t="s">
        <v>1304</v>
      </c>
      <c r="U225" s="8" t="s">
        <v>1304</v>
      </c>
      <c r="V225" s="8" t="s">
        <v>1134</v>
      </c>
    </row>
    <row r="226" spans="1:22" x14ac:dyDescent="0.2">
      <c r="A226" s="8" t="s">
        <v>921</v>
      </c>
      <c r="B226" s="8" t="s">
        <v>47</v>
      </c>
      <c r="C226" s="8" t="s">
        <v>922</v>
      </c>
      <c r="D226" s="8" t="s">
        <v>49</v>
      </c>
      <c r="E226" s="8" t="s">
        <v>1329</v>
      </c>
      <c r="F226" s="8" t="s">
        <v>861</v>
      </c>
      <c r="G226" s="8" t="s">
        <v>1</v>
      </c>
      <c r="H226" s="8"/>
      <c r="I226" s="8"/>
      <c r="J226" s="8" t="s">
        <v>371</v>
      </c>
      <c r="K226" s="8" t="s">
        <v>862</v>
      </c>
      <c r="L226" s="8" t="s">
        <v>92</v>
      </c>
      <c r="M226" s="8" t="s">
        <v>863</v>
      </c>
      <c r="N226" s="8" t="s">
        <v>114</v>
      </c>
      <c r="O226" s="8" t="s">
        <v>54</v>
      </c>
      <c r="P226" s="8" t="s">
        <v>55</v>
      </c>
      <c r="Q226" s="8" t="s">
        <v>56</v>
      </c>
      <c r="R226" s="8" t="s">
        <v>47</v>
      </c>
      <c r="S226" s="8" t="s">
        <v>1304</v>
      </c>
      <c r="T226" s="8" t="s">
        <v>1305</v>
      </c>
      <c r="U226" s="8" t="s">
        <v>1305</v>
      </c>
      <c r="V226" s="8"/>
    </row>
    <row r="227" spans="1:22" x14ac:dyDescent="0.2">
      <c r="A227" s="8" t="s">
        <v>924</v>
      </c>
      <c r="B227" s="8" t="s">
        <v>47</v>
      </c>
      <c r="C227" s="8" t="s">
        <v>925</v>
      </c>
      <c r="D227" s="8" t="s">
        <v>49</v>
      </c>
      <c r="E227" s="8" t="s">
        <v>1330</v>
      </c>
      <c r="F227" s="8" t="s">
        <v>83</v>
      </c>
      <c r="G227" s="8" t="s">
        <v>73</v>
      </c>
      <c r="H227" s="8" t="s">
        <v>1307</v>
      </c>
      <c r="I227" s="8"/>
      <c r="J227" s="8" t="s">
        <v>592</v>
      </c>
      <c r="K227" s="8" t="s">
        <v>862</v>
      </c>
      <c r="L227" s="8" t="s">
        <v>61</v>
      </c>
      <c r="M227" s="8" t="s">
        <v>863</v>
      </c>
      <c r="N227" s="8" t="s">
        <v>114</v>
      </c>
      <c r="O227" s="8" t="s">
        <v>54</v>
      </c>
      <c r="P227" s="8" t="s">
        <v>55</v>
      </c>
      <c r="Q227" s="8" t="s">
        <v>56</v>
      </c>
      <c r="R227" s="8" t="s">
        <v>72</v>
      </c>
      <c r="S227" s="8" t="s">
        <v>1305</v>
      </c>
      <c r="T227" s="8" t="s">
        <v>1305</v>
      </c>
      <c r="U227" s="8" t="s">
        <v>1305</v>
      </c>
      <c r="V227" s="8" t="s">
        <v>1134</v>
      </c>
    </row>
    <row r="228" spans="1:22" x14ac:dyDescent="0.2">
      <c r="A228" s="8" t="s">
        <v>927</v>
      </c>
      <c r="B228" s="8" t="s">
        <v>47</v>
      </c>
      <c r="C228" s="8" t="s">
        <v>928</v>
      </c>
      <c r="D228" s="8" t="s">
        <v>49</v>
      </c>
      <c r="E228" s="8" t="s">
        <v>1331</v>
      </c>
      <c r="F228" s="8" t="s">
        <v>83</v>
      </c>
      <c r="G228" s="8" t="s">
        <v>73</v>
      </c>
      <c r="H228" s="8" t="s">
        <v>1307</v>
      </c>
      <c r="I228" s="8"/>
      <c r="J228" s="8" t="s">
        <v>592</v>
      </c>
      <c r="K228" s="8" t="s">
        <v>862</v>
      </c>
      <c r="L228" s="8" t="s">
        <v>61</v>
      </c>
      <c r="M228" s="8" t="s">
        <v>863</v>
      </c>
      <c r="N228" s="8" t="s">
        <v>114</v>
      </c>
      <c r="O228" s="8" t="s">
        <v>54</v>
      </c>
      <c r="P228" s="8" t="s">
        <v>55</v>
      </c>
      <c r="Q228" s="8" t="s">
        <v>56</v>
      </c>
      <c r="R228" s="8" t="s">
        <v>72</v>
      </c>
      <c r="S228" s="8" t="s">
        <v>1305</v>
      </c>
      <c r="T228" s="8" t="s">
        <v>1305</v>
      </c>
      <c r="U228" s="8" t="s">
        <v>1305</v>
      </c>
      <c r="V228" s="8" t="s">
        <v>1134</v>
      </c>
    </row>
    <row r="229" spans="1:22" x14ac:dyDescent="0.2">
      <c r="A229" s="8" t="s">
        <v>930</v>
      </c>
      <c r="B229" s="8" t="s">
        <v>47</v>
      </c>
      <c r="C229" s="8" t="s">
        <v>931</v>
      </c>
      <c r="D229" s="8" t="s">
        <v>49</v>
      </c>
      <c r="E229" s="8" t="s">
        <v>1332</v>
      </c>
      <c r="F229" s="8" t="s">
        <v>83</v>
      </c>
      <c r="G229" s="8" t="s">
        <v>73</v>
      </c>
      <c r="H229" s="8" t="s">
        <v>1310</v>
      </c>
      <c r="I229" s="8"/>
      <c r="J229" s="8" t="s">
        <v>873</v>
      </c>
      <c r="K229" s="8" t="s">
        <v>468</v>
      </c>
      <c r="L229" s="8" t="s">
        <v>874</v>
      </c>
      <c r="M229" s="8" t="s">
        <v>469</v>
      </c>
      <c r="N229" s="8" t="s">
        <v>114</v>
      </c>
      <c r="O229" s="8" t="s">
        <v>54</v>
      </c>
      <c r="P229" s="8" t="s">
        <v>55</v>
      </c>
      <c r="Q229" s="8" t="s">
        <v>56</v>
      </c>
      <c r="R229" s="8" t="s">
        <v>72</v>
      </c>
      <c r="S229" s="8" t="s">
        <v>1204</v>
      </c>
      <c r="T229" s="8" t="s">
        <v>1204</v>
      </c>
      <c r="U229" s="8" t="s">
        <v>1204</v>
      </c>
      <c r="V229" s="8" t="s">
        <v>1134</v>
      </c>
    </row>
    <row r="230" spans="1:22" x14ac:dyDescent="0.2">
      <c r="A230" s="8" t="s">
        <v>933</v>
      </c>
      <c r="B230" s="8" t="s">
        <v>47</v>
      </c>
      <c r="C230" s="8" t="s">
        <v>934</v>
      </c>
      <c r="D230" s="8" t="s">
        <v>49</v>
      </c>
      <c r="E230" s="8" t="s">
        <v>1333</v>
      </c>
      <c r="F230" s="8" t="s">
        <v>83</v>
      </c>
      <c r="G230" s="8" t="s">
        <v>73</v>
      </c>
      <c r="H230" s="8" t="s">
        <v>1312</v>
      </c>
      <c r="I230" s="8"/>
      <c r="J230" s="8" t="s">
        <v>878</v>
      </c>
      <c r="K230" s="8" t="s">
        <v>462</v>
      </c>
      <c r="L230" s="8" t="s">
        <v>100</v>
      </c>
      <c r="M230" s="8" t="s">
        <v>463</v>
      </c>
      <c r="N230" s="8" t="s">
        <v>114</v>
      </c>
      <c r="O230" s="8" t="s">
        <v>54</v>
      </c>
      <c r="P230" s="8" t="s">
        <v>55</v>
      </c>
      <c r="Q230" s="8" t="s">
        <v>56</v>
      </c>
      <c r="R230" s="8" t="s">
        <v>72</v>
      </c>
      <c r="S230" s="8" t="s">
        <v>1313</v>
      </c>
      <c r="T230" s="8" t="s">
        <v>1313</v>
      </c>
      <c r="U230" s="8" t="s">
        <v>1313</v>
      </c>
      <c r="V230" s="8" t="s">
        <v>1134</v>
      </c>
    </row>
    <row r="231" spans="1:22" x14ac:dyDescent="0.2">
      <c r="A231" s="8" t="s">
        <v>936</v>
      </c>
      <c r="B231" s="8" t="s">
        <v>47</v>
      </c>
      <c r="C231" s="8" t="s">
        <v>937</v>
      </c>
      <c r="D231" s="8" t="s">
        <v>49</v>
      </c>
      <c r="E231" s="8" t="s">
        <v>1334</v>
      </c>
      <c r="F231" s="8" t="s">
        <v>83</v>
      </c>
      <c r="G231" s="8" t="s">
        <v>73</v>
      </c>
      <c r="H231" s="8" t="s">
        <v>358</v>
      </c>
      <c r="I231" s="8"/>
      <c r="J231" s="8" t="s">
        <v>371</v>
      </c>
      <c r="K231" s="8" t="s">
        <v>882</v>
      </c>
      <c r="L231" s="8" t="s">
        <v>92</v>
      </c>
      <c r="M231" s="8" t="s">
        <v>883</v>
      </c>
      <c r="N231" s="8" t="s">
        <v>114</v>
      </c>
      <c r="O231" s="8" t="s">
        <v>54</v>
      </c>
      <c r="P231" s="8" t="s">
        <v>55</v>
      </c>
      <c r="Q231" s="8" t="s">
        <v>56</v>
      </c>
      <c r="R231" s="8" t="s">
        <v>72</v>
      </c>
      <c r="S231" s="8" t="s">
        <v>1304</v>
      </c>
      <c r="T231" s="8" t="s">
        <v>1304</v>
      </c>
      <c r="U231" s="8" t="s">
        <v>1304</v>
      </c>
      <c r="V231" s="8" t="s">
        <v>1134</v>
      </c>
    </row>
    <row r="232" spans="1:22" x14ac:dyDescent="0.2">
      <c r="A232" s="8" t="s">
        <v>939</v>
      </c>
      <c r="B232" s="8" t="s">
        <v>47</v>
      </c>
      <c r="C232" s="8" t="s">
        <v>940</v>
      </c>
      <c r="D232" s="8" t="s">
        <v>49</v>
      </c>
      <c r="E232" s="8" t="s">
        <v>1335</v>
      </c>
      <c r="F232" s="8" t="s">
        <v>83</v>
      </c>
      <c r="G232" s="8" t="s">
        <v>1</v>
      </c>
      <c r="H232" s="8"/>
      <c r="I232" s="8"/>
      <c r="J232" s="8" t="s">
        <v>892</v>
      </c>
      <c r="K232" s="8" t="s">
        <v>597</v>
      </c>
      <c r="L232" s="8" t="s">
        <v>893</v>
      </c>
      <c r="M232" s="8" t="s">
        <v>599</v>
      </c>
      <c r="N232" s="8" t="s">
        <v>114</v>
      </c>
      <c r="O232" s="8" t="s">
        <v>54</v>
      </c>
      <c r="P232" s="8" t="s">
        <v>55</v>
      </c>
      <c r="Q232" s="8" t="s">
        <v>56</v>
      </c>
      <c r="R232" s="8" t="s">
        <v>47</v>
      </c>
      <c r="S232" s="8" t="s">
        <v>1239</v>
      </c>
      <c r="T232" s="8" t="s">
        <v>1239</v>
      </c>
      <c r="U232" s="8" t="s">
        <v>1239</v>
      </c>
      <c r="V232" s="8"/>
    </row>
    <row r="233" spans="1:22" x14ac:dyDescent="0.2">
      <c r="A233" s="8" t="s">
        <v>942</v>
      </c>
      <c r="B233" s="8" t="s">
        <v>47</v>
      </c>
      <c r="C233" s="8" t="s">
        <v>943</v>
      </c>
      <c r="D233" s="8" t="s">
        <v>49</v>
      </c>
      <c r="E233" s="8" t="s">
        <v>1336</v>
      </c>
      <c r="F233" s="8" t="s">
        <v>83</v>
      </c>
      <c r="G233" s="8" t="s">
        <v>73</v>
      </c>
      <c r="H233" s="8" t="s">
        <v>1317</v>
      </c>
      <c r="I233" s="8"/>
      <c r="J233" s="8" t="s">
        <v>892</v>
      </c>
      <c r="K233" s="8" t="s">
        <v>597</v>
      </c>
      <c r="L233" s="8" t="s">
        <v>893</v>
      </c>
      <c r="M233" s="8" t="s">
        <v>599</v>
      </c>
      <c r="N233" s="8" t="s">
        <v>114</v>
      </c>
      <c r="O233" s="8" t="s">
        <v>54</v>
      </c>
      <c r="P233" s="8" t="s">
        <v>55</v>
      </c>
      <c r="Q233" s="8" t="s">
        <v>56</v>
      </c>
      <c r="R233" s="8" t="s">
        <v>72</v>
      </c>
      <c r="S233" s="8" t="s">
        <v>1239</v>
      </c>
      <c r="T233" s="8" t="s">
        <v>1239</v>
      </c>
      <c r="U233" s="8" t="s">
        <v>1239</v>
      </c>
      <c r="V233" s="8" t="s">
        <v>1129</v>
      </c>
    </row>
    <row r="234" spans="1:22" x14ac:dyDescent="0.2">
      <c r="A234" s="8" t="s">
        <v>945</v>
      </c>
      <c r="B234" s="8" t="s">
        <v>47</v>
      </c>
      <c r="C234" s="8" t="s">
        <v>946</v>
      </c>
      <c r="D234" s="8" t="s">
        <v>49</v>
      </c>
      <c r="E234" s="8" t="s">
        <v>1337</v>
      </c>
      <c r="F234" s="8" t="s">
        <v>745</v>
      </c>
      <c r="G234" s="8" t="s">
        <v>1</v>
      </c>
      <c r="H234" s="8"/>
      <c r="I234" s="8"/>
      <c r="J234" s="8" t="s">
        <v>331</v>
      </c>
      <c r="K234" s="8" t="s">
        <v>746</v>
      </c>
      <c r="L234" s="8" t="s">
        <v>333</v>
      </c>
      <c r="M234" s="8" t="s">
        <v>747</v>
      </c>
      <c r="N234" s="8" t="s">
        <v>159</v>
      </c>
      <c r="O234" s="8" t="s">
        <v>54</v>
      </c>
      <c r="P234" s="8" t="s">
        <v>55</v>
      </c>
      <c r="Q234" s="8" t="s">
        <v>56</v>
      </c>
      <c r="R234" s="8" t="s">
        <v>47</v>
      </c>
      <c r="S234" s="8" t="s">
        <v>1279</v>
      </c>
      <c r="T234" s="8" t="s">
        <v>1279</v>
      </c>
      <c r="U234" s="8" t="s">
        <v>1279</v>
      </c>
      <c r="V234" s="8"/>
    </row>
    <row r="235" spans="1:22" x14ac:dyDescent="0.2">
      <c r="A235" s="8" t="s">
        <v>948</v>
      </c>
      <c r="B235" s="8" t="s">
        <v>47</v>
      </c>
      <c r="C235" s="8" t="s">
        <v>949</v>
      </c>
      <c r="D235" s="8" t="s">
        <v>49</v>
      </c>
      <c r="E235" s="8" t="s">
        <v>1338</v>
      </c>
      <c r="F235" s="8" t="s">
        <v>754</v>
      </c>
      <c r="G235" s="8" t="s">
        <v>73</v>
      </c>
      <c r="H235" s="8" t="s">
        <v>951</v>
      </c>
      <c r="I235" s="8"/>
      <c r="J235" s="8" t="s">
        <v>780</v>
      </c>
      <c r="K235" s="8" t="s">
        <v>746</v>
      </c>
      <c r="L235" s="8" t="s">
        <v>781</v>
      </c>
      <c r="M235" s="8" t="s">
        <v>747</v>
      </c>
      <c r="N235" s="8" t="s">
        <v>782</v>
      </c>
      <c r="O235" s="8" t="s">
        <v>54</v>
      </c>
      <c r="P235" s="8" t="s">
        <v>55</v>
      </c>
      <c r="Q235" s="8" t="s">
        <v>56</v>
      </c>
      <c r="R235" s="8" t="s">
        <v>72</v>
      </c>
      <c r="S235" s="8" t="s">
        <v>1279</v>
      </c>
      <c r="T235" s="8" t="s">
        <v>1279</v>
      </c>
      <c r="U235" s="8" t="s">
        <v>1279</v>
      </c>
      <c r="V235" s="8" t="s">
        <v>1165</v>
      </c>
    </row>
    <row r="236" spans="1:22" x14ac:dyDescent="0.2">
      <c r="A236" s="8" t="s">
        <v>952</v>
      </c>
      <c r="B236" s="8" t="s">
        <v>47</v>
      </c>
      <c r="C236" s="8" t="s">
        <v>953</v>
      </c>
      <c r="D236" s="8" t="s">
        <v>49</v>
      </c>
      <c r="E236" s="8" t="s">
        <v>1339</v>
      </c>
      <c r="F236" s="8" t="s">
        <v>754</v>
      </c>
      <c r="G236" s="8" t="s">
        <v>73</v>
      </c>
      <c r="H236" s="8" t="s">
        <v>951</v>
      </c>
      <c r="I236" s="8"/>
      <c r="J236" s="8" t="s">
        <v>780</v>
      </c>
      <c r="K236" s="8" t="s">
        <v>746</v>
      </c>
      <c r="L236" s="8" t="s">
        <v>781</v>
      </c>
      <c r="M236" s="8" t="s">
        <v>747</v>
      </c>
      <c r="N236" s="8" t="s">
        <v>782</v>
      </c>
      <c r="O236" s="8" t="s">
        <v>54</v>
      </c>
      <c r="P236" s="8" t="s">
        <v>55</v>
      </c>
      <c r="Q236" s="8" t="s">
        <v>56</v>
      </c>
      <c r="R236" s="8" t="s">
        <v>72</v>
      </c>
      <c r="S236" s="8" t="s">
        <v>1279</v>
      </c>
      <c r="T236" s="8" t="s">
        <v>1279</v>
      </c>
      <c r="U236" s="8" t="s">
        <v>1279</v>
      </c>
      <c r="V236" s="8" t="s">
        <v>1165</v>
      </c>
    </row>
    <row r="237" spans="1:22" x14ac:dyDescent="0.2">
      <c r="A237" s="8" t="s">
        <v>951</v>
      </c>
      <c r="B237" s="8" t="s">
        <v>47</v>
      </c>
      <c r="C237" s="8" t="s">
        <v>955</v>
      </c>
      <c r="D237" s="8" t="s">
        <v>49</v>
      </c>
      <c r="E237" s="8" t="s">
        <v>1340</v>
      </c>
      <c r="F237" s="8" t="s">
        <v>761</v>
      </c>
      <c r="G237" s="8" t="s">
        <v>73</v>
      </c>
      <c r="H237" s="8" t="s">
        <v>957</v>
      </c>
      <c r="I237" s="8" t="s">
        <v>958</v>
      </c>
      <c r="J237" s="8" t="s">
        <v>771</v>
      </c>
      <c r="K237" s="8" t="s">
        <v>772</v>
      </c>
      <c r="L237" s="8" t="s">
        <v>773</v>
      </c>
      <c r="M237" s="8" t="s">
        <v>774</v>
      </c>
      <c r="N237" s="8" t="s">
        <v>775</v>
      </c>
      <c r="O237" s="8" t="s">
        <v>776</v>
      </c>
      <c r="P237" s="8" t="s">
        <v>55</v>
      </c>
      <c r="Q237" s="8" t="s">
        <v>56</v>
      </c>
      <c r="R237" s="8" t="s">
        <v>72</v>
      </c>
      <c r="S237" s="8" t="s">
        <v>1279</v>
      </c>
      <c r="T237" s="8" t="s">
        <v>1279</v>
      </c>
      <c r="U237" s="8" t="s">
        <v>212</v>
      </c>
      <c r="V237" s="8" t="s">
        <v>1165</v>
      </c>
    </row>
    <row r="238" spans="1:22" x14ac:dyDescent="0.2">
      <c r="A238" s="8" t="s">
        <v>957</v>
      </c>
      <c r="B238" s="8" t="s">
        <v>47</v>
      </c>
      <c r="C238" s="8" t="s">
        <v>959</v>
      </c>
      <c r="D238" s="8" t="s">
        <v>49</v>
      </c>
      <c r="E238" s="8" t="s">
        <v>1341</v>
      </c>
      <c r="F238" s="8" t="s">
        <v>761</v>
      </c>
      <c r="G238" s="8" t="s">
        <v>73</v>
      </c>
      <c r="H238" s="8" t="s">
        <v>961</v>
      </c>
      <c r="I238" s="8" t="s">
        <v>951</v>
      </c>
      <c r="J238" s="8" t="s">
        <v>763</v>
      </c>
      <c r="K238" s="8" t="s">
        <v>764</v>
      </c>
      <c r="L238" s="8" t="s">
        <v>765</v>
      </c>
      <c r="M238" s="8" t="s">
        <v>766</v>
      </c>
      <c r="N238" s="8" t="s">
        <v>93</v>
      </c>
      <c r="O238" s="8" t="s">
        <v>767</v>
      </c>
      <c r="P238" s="8" t="s">
        <v>55</v>
      </c>
      <c r="Q238" s="8" t="s">
        <v>56</v>
      </c>
      <c r="R238" s="8" t="s">
        <v>72</v>
      </c>
      <c r="S238" s="8" t="s">
        <v>1279</v>
      </c>
      <c r="T238" s="8" t="s">
        <v>1279</v>
      </c>
      <c r="U238" s="8" t="s">
        <v>212</v>
      </c>
      <c r="V238" s="8" t="s">
        <v>1165</v>
      </c>
    </row>
    <row r="239" spans="1:22" x14ac:dyDescent="0.2">
      <c r="A239" s="8" t="s">
        <v>961</v>
      </c>
      <c r="B239" s="8" t="s">
        <v>47</v>
      </c>
      <c r="C239" s="8" t="s">
        <v>962</v>
      </c>
      <c r="D239" s="8" t="s">
        <v>49</v>
      </c>
      <c r="E239" s="8" t="s">
        <v>1342</v>
      </c>
      <c r="F239" s="8" t="s">
        <v>754</v>
      </c>
      <c r="G239" s="8" t="s">
        <v>73</v>
      </c>
      <c r="H239" s="8" t="s">
        <v>1281</v>
      </c>
      <c r="I239" s="8" t="s">
        <v>957</v>
      </c>
      <c r="J239" s="8" t="s">
        <v>331</v>
      </c>
      <c r="K239" s="8" t="s">
        <v>756</v>
      </c>
      <c r="L239" s="8" t="s">
        <v>333</v>
      </c>
      <c r="M239" s="8" t="s">
        <v>757</v>
      </c>
      <c r="N239" s="8" t="s">
        <v>159</v>
      </c>
      <c r="O239" s="8" t="s">
        <v>758</v>
      </c>
      <c r="P239" s="8" t="s">
        <v>55</v>
      </c>
      <c r="Q239" s="8" t="s">
        <v>56</v>
      </c>
      <c r="R239" s="8" t="s">
        <v>72</v>
      </c>
      <c r="S239" s="8" t="s">
        <v>1279</v>
      </c>
      <c r="T239" s="8" t="s">
        <v>1279</v>
      </c>
      <c r="U239" s="8" t="s">
        <v>212</v>
      </c>
      <c r="V239" s="8" t="s">
        <v>1165</v>
      </c>
    </row>
    <row r="240" spans="1:22" x14ac:dyDescent="0.2">
      <c r="A240" s="8" t="s">
        <v>964</v>
      </c>
      <c r="B240" s="8" t="s">
        <v>47</v>
      </c>
      <c r="C240" s="8" t="s">
        <v>965</v>
      </c>
      <c r="D240" s="8" t="s">
        <v>49</v>
      </c>
      <c r="E240" s="8" t="s">
        <v>1343</v>
      </c>
      <c r="F240" s="8" t="s">
        <v>967</v>
      </c>
      <c r="G240" s="8" t="s">
        <v>1</v>
      </c>
      <c r="H240" s="8"/>
      <c r="I240" s="8"/>
      <c r="J240" s="8" t="s">
        <v>968</v>
      </c>
      <c r="K240" s="8" t="s">
        <v>969</v>
      </c>
      <c r="L240" s="8" t="s">
        <v>970</v>
      </c>
      <c r="M240" s="8" t="s">
        <v>971</v>
      </c>
      <c r="N240" s="8" t="s">
        <v>69</v>
      </c>
      <c r="O240" s="8" t="s">
        <v>54</v>
      </c>
      <c r="P240" s="8" t="s">
        <v>55</v>
      </c>
      <c r="Q240" s="8" t="s">
        <v>56</v>
      </c>
      <c r="R240" s="8" t="s">
        <v>47</v>
      </c>
      <c r="S240" s="8" t="s">
        <v>1344</v>
      </c>
      <c r="T240" s="8" t="s">
        <v>1345</v>
      </c>
      <c r="U240" s="8" t="s">
        <v>1345</v>
      </c>
      <c r="V240" s="8"/>
    </row>
    <row r="241" spans="1:22" x14ac:dyDescent="0.2">
      <c r="A241" s="8" t="s">
        <v>972</v>
      </c>
      <c r="B241" s="8" t="s">
        <v>47</v>
      </c>
      <c r="C241" s="8" t="s">
        <v>973</v>
      </c>
      <c r="D241" s="8" t="s">
        <v>49</v>
      </c>
      <c r="E241" s="8" t="s">
        <v>1346</v>
      </c>
      <c r="F241" s="8" t="s">
        <v>975</v>
      </c>
      <c r="G241" s="8" t="s">
        <v>73</v>
      </c>
      <c r="H241" s="8" t="s">
        <v>976</v>
      </c>
      <c r="I241" s="8"/>
      <c r="J241" s="8" t="s">
        <v>977</v>
      </c>
      <c r="K241" s="8" t="s">
        <v>969</v>
      </c>
      <c r="L241" s="8" t="s">
        <v>978</v>
      </c>
      <c r="M241" s="8" t="s">
        <v>971</v>
      </c>
      <c r="N241" s="8" t="s">
        <v>979</v>
      </c>
      <c r="O241" s="8" t="s">
        <v>54</v>
      </c>
      <c r="P241" s="8" t="s">
        <v>55</v>
      </c>
      <c r="Q241" s="8" t="s">
        <v>56</v>
      </c>
      <c r="R241" s="8" t="s">
        <v>72</v>
      </c>
      <c r="S241" s="8" t="s">
        <v>1345</v>
      </c>
      <c r="T241" s="8" t="s">
        <v>1345</v>
      </c>
      <c r="U241" s="8" t="s">
        <v>1345</v>
      </c>
      <c r="V241" s="8" t="s">
        <v>1165</v>
      </c>
    </row>
    <row r="242" spans="1:22" x14ac:dyDescent="0.2">
      <c r="A242" s="8" t="s">
        <v>976</v>
      </c>
      <c r="B242" s="8" t="s">
        <v>47</v>
      </c>
      <c r="C242" s="8" t="s">
        <v>980</v>
      </c>
      <c r="D242" s="8" t="s">
        <v>49</v>
      </c>
      <c r="E242" s="8" t="s">
        <v>1347</v>
      </c>
      <c r="F242" s="8" t="s">
        <v>975</v>
      </c>
      <c r="G242" s="8" t="s">
        <v>73</v>
      </c>
      <c r="H242" s="8" t="s">
        <v>1348</v>
      </c>
      <c r="I242" s="8" t="s">
        <v>972</v>
      </c>
      <c r="J242" s="8" t="s">
        <v>982</v>
      </c>
      <c r="K242" s="8" t="s">
        <v>587</v>
      </c>
      <c r="L242" s="8" t="s">
        <v>983</v>
      </c>
      <c r="M242" s="8" t="s">
        <v>588</v>
      </c>
      <c r="N242" s="8" t="s">
        <v>69</v>
      </c>
      <c r="O242" s="8" t="s">
        <v>79</v>
      </c>
      <c r="P242" s="8" t="s">
        <v>55</v>
      </c>
      <c r="Q242" s="8" t="s">
        <v>56</v>
      </c>
      <c r="R242" s="8" t="s">
        <v>72</v>
      </c>
      <c r="S242" s="8" t="s">
        <v>1345</v>
      </c>
      <c r="T242" s="8" t="s">
        <v>1345</v>
      </c>
      <c r="U242" s="8" t="s">
        <v>212</v>
      </c>
      <c r="V242" s="8" t="s">
        <v>1165</v>
      </c>
    </row>
    <row r="243" spans="1:22" x14ac:dyDescent="0.2">
      <c r="A243" s="8" t="s">
        <v>984</v>
      </c>
      <c r="B243" s="8" t="s">
        <v>47</v>
      </c>
      <c r="C243" s="8" t="s">
        <v>985</v>
      </c>
      <c r="D243" s="8" t="s">
        <v>49</v>
      </c>
      <c r="E243" s="8" t="s">
        <v>1349</v>
      </c>
      <c r="F243" s="8" t="s">
        <v>975</v>
      </c>
      <c r="G243" s="8" t="s">
        <v>73</v>
      </c>
      <c r="H243" s="8" t="s">
        <v>1350</v>
      </c>
      <c r="I243" s="8"/>
      <c r="J243" s="8" t="s">
        <v>987</v>
      </c>
      <c r="K243" s="8" t="s">
        <v>468</v>
      </c>
      <c r="L243" s="8" t="s">
        <v>988</v>
      </c>
      <c r="M243" s="8" t="s">
        <v>469</v>
      </c>
      <c r="N243" s="8" t="s">
        <v>979</v>
      </c>
      <c r="O243" s="8" t="s">
        <v>54</v>
      </c>
      <c r="P243" s="8" t="s">
        <v>55</v>
      </c>
      <c r="Q243" s="8" t="s">
        <v>56</v>
      </c>
      <c r="R243" s="8" t="s">
        <v>72</v>
      </c>
      <c r="S243" s="8" t="s">
        <v>1204</v>
      </c>
      <c r="T243" s="8" t="s">
        <v>1204</v>
      </c>
      <c r="U243" s="8" t="s">
        <v>1204</v>
      </c>
      <c r="V243" s="8" t="s">
        <v>1165</v>
      </c>
    </row>
    <row r="244" spans="1:22" x14ac:dyDescent="0.2">
      <c r="A244" s="8" t="s">
        <v>989</v>
      </c>
      <c r="B244" s="8" t="s">
        <v>47</v>
      </c>
      <c r="C244" s="8" t="s">
        <v>990</v>
      </c>
      <c r="D244" s="8" t="s">
        <v>49</v>
      </c>
      <c r="E244" s="8" t="s">
        <v>1351</v>
      </c>
      <c r="F244" s="8" t="s">
        <v>975</v>
      </c>
      <c r="G244" s="8" t="s">
        <v>73</v>
      </c>
      <c r="H244" s="8" t="s">
        <v>1352</v>
      </c>
      <c r="I244" s="8"/>
      <c r="J244" s="8" t="s">
        <v>992</v>
      </c>
      <c r="K244" s="8" t="s">
        <v>462</v>
      </c>
      <c r="L244" s="8" t="s">
        <v>993</v>
      </c>
      <c r="M244" s="8" t="s">
        <v>463</v>
      </c>
      <c r="N244" s="8" t="s">
        <v>979</v>
      </c>
      <c r="O244" s="8" t="s">
        <v>54</v>
      </c>
      <c r="P244" s="8" t="s">
        <v>55</v>
      </c>
      <c r="Q244" s="8" t="s">
        <v>56</v>
      </c>
      <c r="R244" s="8" t="s">
        <v>72</v>
      </c>
      <c r="S244" s="8" t="s">
        <v>1313</v>
      </c>
      <c r="T244" s="8" t="s">
        <v>1313</v>
      </c>
      <c r="U244" s="8" t="s">
        <v>1313</v>
      </c>
      <c r="V244" s="8" t="s">
        <v>1165</v>
      </c>
    </row>
    <row r="245" spans="1:22" x14ac:dyDescent="0.2">
      <c r="A245" s="8" t="s">
        <v>994</v>
      </c>
      <c r="B245" s="8" t="s">
        <v>47</v>
      </c>
      <c r="C245" s="8" t="s">
        <v>995</v>
      </c>
      <c r="D245" s="8" t="s">
        <v>49</v>
      </c>
      <c r="E245" s="8" t="s">
        <v>1353</v>
      </c>
      <c r="F245" s="8" t="s">
        <v>975</v>
      </c>
      <c r="G245" s="8" t="s">
        <v>73</v>
      </c>
      <c r="H245" s="8" t="s">
        <v>1354</v>
      </c>
      <c r="I245" s="8"/>
      <c r="J245" s="8" t="s">
        <v>968</v>
      </c>
      <c r="K245" s="8" t="s">
        <v>362</v>
      </c>
      <c r="L245" s="8" t="s">
        <v>970</v>
      </c>
      <c r="M245" s="8" t="s">
        <v>363</v>
      </c>
      <c r="N245" s="8" t="s">
        <v>979</v>
      </c>
      <c r="O245" s="8" t="s">
        <v>54</v>
      </c>
      <c r="P245" s="8" t="s">
        <v>55</v>
      </c>
      <c r="Q245" s="8" t="s">
        <v>56</v>
      </c>
      <c r="R245" s="8" t="s">
        <v>72</v>
      </c>
      <c r="S245" s="8" t="s">
        <v>1355</v>
      </c>
      <c r="T245" s="8" t="s">
        <v>1355</v>
      </c>
      <c r="U245" s="8" t="s">
        <v>1355</v>
      </c>
      <c r="V245" s="8" t="s">
        <v>1165</v>
      </c>
    </row>
    <row r="246" spans="1:22" x14ac:dyDescent="0.2">
      <c r="A246" s="8" t="s">
        <v>997</v>
      </c>
      <c r="B246" s="8" t="s">
        <v>47</v>
      </c>
      <c r="C246" s="8" t="s">
        <v>998</v>
      </c>
      <c r="D246" s="8" t="s">
        <v>49</v>
      </c>
      <c r="E246" s="8" t="s">
        <v>1356</v>
      </c>
      <c r="F246" s="8" t="s">
        <v>967</v>
      </c>
      <c r="G246" s="8" t="s">
        <v>1</v>
      </c>
      <c r="H246" s="8"/>
      <c r="I246" s="8"/>
      <c r="J246" s="8" t="s">
        <v>968</v>
      </c>
      <c r="K246" s="8" t="s">
        <v>969</v>
      </c>
      <c r="L246" s="8" t="s">
        <v>970</v>
      </c>
      <c r="M246" s="8" t="s">
        <v>971</v>
      </c>
      <c r="N246" s="8" t="s">
        <v>69</v>
      </c>
      <c r="O246" s="8" t="s">
        <v>54</v>
      </c>
      <c r="P246" s="8" t="s">
        <v>55</v>
      </c>
      <c r="Q246" s="8" t="s">
        <v>56</v>
      </c>
      <c r="R246" s="8" t="s">
        <v>47</v>
      </c>
      <c r="S246" s="8" t="s">
        <v>1344</v>
      </c>
      <c r="T246" s="8" t="s">
        <v>1345</v>
      </c>
      <c r="U246" s="8" t="s">
        <v>1345</v>
      </c>
      <c r="V246" s="8"/>
    </row>
    <row r="247" spans="1:22" x14ac:dyDescent="0.2">
      <c r="A247" s="8" t="s">
        <v>1000</v>
      </c>
      <c r="B247" s="8" t="s">
        <v>47</v>
      </c>
      <c r="C247" s="8" t="s">
        <v>1001</v>
      </c>
      <c r="D247" s="8" t="s">
        <v>49</v>
      </c>
      <c r="E247" s="8" t="s">
        <v>1357</v>
      </c>
      <c r="F247" s="8" t="s">
        <v>975</v>
      </c>
      <c r="G247" s="8" t="s">
        <v>73</v>
      </c>
      <c r="H247" s="8" t="s">
        <v>1003</v>
      </c>
      <c r="I247" s="8"/>
      <c r="J247" s="8" t="s">
        <v>977</v>
      </c>
      <c r="K247" s="8" t="s">
        <v>969</v>
      </c>
      <c r="L247" s="8" t="s">
        <v>978</v>
      </c>
      <c r="M247" s="8" t="s">
        <v>971</v>
      </c>
      <c r="N247" s="8" t="s">
        <v>979</v>
      </c>
      <c r="O247" s="8" t="s">
        <v>54</v>
      </c>
      <c r="P247" s="8" t="s">
        <v>55</v>
      </c>
      <c r="Q247" s="8" t="s">
        <v>56</v>
      </c>
      <c r="R247" s="8" t="s">
        <v>72</v>
      </c>
      <c r="S247" s="8" t="s">
        <v>1345</v>
      </c>
      <c r="T247" s="8" t="s">
        <v>1345</v>
      </c>
      <c r="U247" s="8" t="s">
        <v>1345</v>
      </c>
      <c r="V247" s="8" t="s">
        <v>1165</v>
      </c>
    </row>
    <row r="248" spans="1:22" x14ac:dyDescent="0.2">
      <c r="A248" s="8" t="s">
        <v>1003</v>
      </c>
      <c r="B248" s="8" t="s">
        <v>47</v>
      </c>
      <c r="C248" s="8" t="s">
        <v>1004</v>
      </c>
      <c r="D248" s="8" t="s">
        <v>49</v>
      </c>
      <c r="E248" s="8" t="s">
        <v>1358</v>
      </c>
      <c r="F248" s="8" t="s">
        <v>975</v>
      </c>
      <c r="G248" s="8" t="s">
        <v>73</v>
      </c>
      <c r="H248" s="8" t="s">
        <v>1348</v>
      </c>
      <c r="I248" s="8" t="s">
        <v>1000</v>
      </c>
      <c r="J248" s="8" t="s">
        <v>982</v>
      </c>
      <c r="K248" s="8" t="s">
        <v>587</v>
      </c>
      <c r="L248" s="8" t="s">
        <v>983</v>
      </c>
      <c r="M248" s="8" t="s">
        <v>588</v>
      </c>
      <c r="N248" s="8" t="s">
        <v>69</v>
      </c>
      <c r="O248" s="8" t="s">
        <v>79</v>
      </c>
      <c r="P248" s="8" t="s">
        <v>55</v>
      </c>
      <c r="Q248" s="8" t="s">
        <v>56</v>
      </c>
      <c r="R248" s="8" t="s">
        <v>72</v>
      </c>
      <c r="S248" s="8" t="s">
        <v>1345</v>
      </c>
      <c r="T248" s="8" t="s">
        <v>1345</v>
      </c>
      <c r="U248" s="8" t="s">
        <v>212</v>
      </c>
      <c r="V248" s="8" t="s">
        <v>1165</v>
      </c>
    </row>
    <row r="249" spans="1:22" x14ac:dyDescent="0.2">
      <c r="A249" s="8" t="s">
        <v>1006</v>
      </c>
      <c r="B249" s="8" t="s">
        <v>47</v>
      </c>
      <c r="C249" s="8" t="s">
        <v>1007</v>
      </c>
      <c r="D249" s="8" t="s">
        <v>49</v>
      </c>
      <c r="E249" s="8" t="s">
        <v>1359</v>
      </c>
      <c r="F249" s="8" t="s">
        <v>975</v>
      </c>
      <c r="G249" s="8" t="s">
        <v>73</v>
      </c>
      <c r="H249" s="8" t="s">
        <v>1350</v>
      </c>
      <c r="I249" s="8"/>
      <c r="J249" s="8" t="s">
        <v>987</v>
      </c>
      <c r="K249" s="8" t="s">
        <v>468</v>
      </c>
      <c r="L249" s="8" t="s">
        <v>988</v>
      </c>
      <c r="M249" s="8" t="s">
        <v>469</v>
      </c>
      <c r="N249" s="8" t="s">
        <v>979</v>
      </c>
      <c r="O249" s="8" t="s">
        <v>54</v>
      </c>
      <c r="P249" s="8" t="s">
        <v>55</v>
      </c>
      <c r="Q249" s="8" t="s">
        <v>56</v>
      </c>
      <c r="R249" s="8" t="s">
        <v>72</v>
      </c>
      <c r="S249" s="8" t="s">
        <v>1204</v>
      </c>
      <c r="T249" s="8" t="s">
        <v>1204</v>
      </c>
      <c r="U249" s="8" t="s">
        <v>1204</v>
      </c>
      <c r="V249" s="8" t="s">
        <v>1165</v>
      </c>
    </row>
    <row r="250" spans="1:22" x14ac:dyDescent="0.2">
      <c r="A250" s="8" t="s">
        <v>1009</v>
      </c>
      <c r="B250" s="8" t="s">
        <v>47</v>
      </c>
      <c r="C250" s="8" t="s">
        <v>1010</v>
      </c>
      <c r="D250" s="8" t="s">
        <v>49</v>
      </c>
      <c r="E250" s="8" t="s">
        <v>1360</v>
      </c>
      <c r="F250" s="8" t="s">
        <v>975</v>
      </c>
      <c r="G250" s="8" t="s">
        <v>73</v>
      </c>
      <c r="H250" s="8" t="s">
        <v>1352</v>
      </c>
      <c r="I250" s="8"/>
      <c r="J250" s="8" t="s">
        <v>992</v>
      </c>
      <c r="K250" s="8" t="s">
        <v>462</v>
      </c>
      <c r="L250" s="8" t="s">
        <v>993</v>
      </c>
      <c r="M250" s="8" t="s">
        <v>463</v>
      </c>
      <c r="N250" s="8" t="s">
        <v>979</v>
      </c>
      <c r="O250" s="8" t="s">
        <v>54</v>
      </c>
      <c r="P250" s="8" t="s">
        <v>55</v>
      </c>
      <c r="Q250" s="8" t="s">
        <v>56</v>
      </c>
      <c r="R250" s="8" t="s">
        <v>72</v>
      </c>
      <c r="S250" s="8" t="s">
        <v>1313</v>
      </c>
      <c r="T250" s="8" t="s">
        <v>1313</v>
      </c>
      <c r="U250" s="8" t="s">
        <v>1313</v>
      </c>
      <c r="V250" s="8" t="s">
        <v>1165</v>
      </c>
    </row>
    <row r="251" spans="1:22" x14ac:dyDescent="0.2">
      <c r="A251" s="8" t="s">
        <v>1012</v>
      </c>
      <c r="B251" s="8" t="s">
        <v>47</v>
      </c>
      <c r="C251" s="8" t="s">
        <v>1013</v>
      </c>
      <c r="D251" s="8" t="s">
        <v>49</v>
      </c>
      <c r="E251" s="8" t="s">
        <v>1361</v>
      </c>
      <c r="F251" s="8" t="s">
        <v>975</v>
      </c>
      <c r="G251" s="8" t="s">
        <v>73</v>
      </c>
      <c r="H251" s="8" t="s">
        <v>1354</v>
      </c>
      <c r="I251" s="8"/>
      <c r="J251" s="8" t="s">
        <v>968</v>
      </c>
      <c r="K251" s="8" t="s">
        <v>362</v>
      </c>
      <c r="L251" s="8" t="s">
        <v>970</v>
      </c>
      <c r="M251" s="8" t="s">
        <v>363</v>
      </c>
      <c r="N251" s="8" t="s">
        <v>979</v>
      </c>
      <c r="O251" s="8" t="s">
        <v>54</v>
      </c>
      <c r="P251" s="8" t="s">
        <v>55</v>
      </c>
      <c r="Q251" s="8" t="s">
        <v>56</v>
      </c>
      <c r="R251" s="8" t="s">
        <v>72</v>
      </c>
      <c r="S251" s="8" t="s">
        <v>1355</v>
      </c>
      <c r="T251" s="8" t="s">
        <v>1355</v>
      </c>
      <c r="U251" s="8" t="s">
        <v>1355</v>
      </c>
      <c r="V251" s="8" t="s">
        <v>1165</v>
      </c>
    </row>
  </sheetData>
  <autoFilter ref="A1:V251" xr:uid="{CF69B53B-5EFD-4660-96FE-468173DCCA18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25"/>
  <sheetViews>
    <sheetView zoomScale="115" zoomScaleNormal="115" workbookViewId="0">
      <selection activeCell="B3" sqref="B3"/>
    </sheetView>
  </sheetViews>
  <sheetFormatPr baseColWidth="10" defaultColWidth="8.83203125" defaultRowHeight="15" x14ac:dyDescent="0.2"/>
  <cols>
    <col min="1" max="1" width="13.83203125" bestFit="1" customWidth="1"/>
    <col min="2" max="2" width="16.83203125" bestFit="1" customWidth="1"/>
    <col min="3" max="3" width="11.1640625" customWidth="1"/>
  </cols>
  <sheetData>
    <row r="1" spans="1:17" x14ac:dyDescent="0.2">
      <c r="A1" t="s">
        <v>4</v>
      </c>
      <c r="B1" s="2" t="s">
        <v>1034</v>
      </c>
      <c r="C1" s="11" t="s">
        <v>9</v>
      </c>
      <c r="D1" s="10"/>
      <c r="E1" s="10"/>
    </row>
    <row r="2" spans="1:17" x14ac:dyDescent="0.2">
      <c r="A2" t="s">
        <v>5</v>
      </c>
      <c r="B2" s="2" t="s">
        <v>1366</v>
      </c>
      <c r="C2" s="5"/>
      <c r="D2" s="5"/>
      <c r="F2" s="50" t="s">
        <v>7</v>
      </c>
      <c r="G2" s="50"/>
      <c r="H2" s="50"/>
      <c r="I2" t="s">
        <v>8</v>
      </c>
    </row>
    <row r="3" spans="1:17" x14ac:dyDescent="0.2">
      <c r="A3" t="s">
        <v>6</v>
      </c>
      <c r="B3" s="2"/>
      <c r="C3" s="2"/>
      <c r="D3" s="2"/>
    </row>
    <row r="4" spans="1:17" x14ac:dyDescent="0.2">
      <c r="F4" s="4"/>
    </row>
    <row r="5" spans="1:17" x14ac:dyDescent="0.2">
      <c r="G5" s="13" t="s">
        <v>15</v>
      </c>
      <c r="H5" s="13"/>
      <c r="I5" s="13"/>
      <c r="J5" s="13"/>
      <c r="K5" s="13"/>
      <c r="L5" s="13"/>
      <c r="M5" s="24"/>
    </row>
    <row r="6" spans="1:17" x14ac:dyDescent="0.2">
      <c r="G6" s="14"/>
      <c r="H6" s="51" t="s">
        <v>16</v>
      </c>
      <c r="I6" s="52"/>
      <c r="J6" s="52"/>
      <c r="K6" s="52"/>
      <c r="L6" s="52"/>
      <c r="M6" s="53"/>
      <c r="P6" s="32" t="s">
        <v>20</v>
      </c>
      <c r="Q6" s="8" t="s">
        <v>23</v>
      </c>
    </row>
    <row r="7" spans="1:17" x14ac:dyDescent="0.2">
      <c r="G7" s="14"/>
      <c r="H7" s="15"/>
      <c r="I7" s="16" t="s">
        <v>10</v>
      </c>
      <c r="J7" s="16" t="s">
        <v>11</v>
      </c>
      <c r="K7" s="16" t="s">
        <v>12</v>
      </c>
      <c r="L7" s="16" t="s">
        <v>13</v>
      </c>
      <c r="M7" s="25" t="s">
        <v>14</v>
      </c>
      <c r="P7" s="32" t="s">
        <v>21</v>
      </c>
      <c r="Q7" s="8"/>
    </row>
    <row r="8" spans="1:17" x14ac:dyDescent="0.2">
      <c r="G8" s="14"/>
      <c r="H8" s="17" t="str">
        <f>I7</f>
        <v>RRH</v>
      </c>
      <c r="I8" s="18">
        <v>1</v>
      </c>
      <c r="J8" s="19">
        <v>1</v>
      </c>
      <c r="K8" s="19">
        <v>1</v>
      </c>
      <c r="L8" s="19">
        <v>1</v>
      </c>
      <c r="M8" s="22">
        <v>1</v>
      </c>
      <c r="P8" s="32" t="s">
        <v>22</v>
      </c>
      <c r="Q8" s="8"/>
    </row>
    <row r="9" spans="1:17" x14ac:dyDescent="0.2">
      <c r="G9" s="14"/>
      <c r="H9" s="17" t="str">
        <f>J7</f>
        <v>RID</v>
      </c>
      <c r="I9" s="16">
        <f>I8/J8</f>
        <v>1</v>
      </c>
      <c r="J9" s="18">
        <v>1</v>
      </c>
      <c r="K9" s="19">
        <v>1</v>
      </c>
      <c r="L9" s="19">
        <v>1</v>
      </c>
      <c r="M9" s="19">
        <v>1</v>
      </c>
      <c r="P9" s="32" t="s">
        <v>0</v>
      </c>
      <c r="Q9" s="8" t="s">
        <v>25</v>
      </c>
    </row>
    <row r="10" spans="1:17" x14ac:dyDescent="0.2">
      <c r="G10" s="14"/>
      <c r="H10" s="17" t="str">
        <f>K7</f>
        <v>Mx</v>
      </c>
      <c r="I10" s="16">
        <f>I8/K8</f>
        <v>1</v>
      </c>
      <c r="J10" s="16">
        <f>J9/K9</f>
        <v>1</v>
      </c>
      <c r="K10" s="18">
        <v>1</v>
      </c>
      <c r="L10" s="19">
        <v>1</v>
      </c>
      <c r="M10" s="19">
        <v>1</v>
      </c>
      <c r="P10" s="32" t="s">
        <v>1</v>
      </c>
      <c r="Q10" s="8"/>
    </row>
    <row r="11" spans="1:17" x14ac:dyDescent="0.2">
      <c r="G11" s="14"/>
      <c r="H11" s="17" t="str">
        <f>L7</f>
        <v>MRD</v>
      </c>
      <c r="I11" s="16">
        <f>I8/L8</f>
        <v>1</v>
      </c>
      <c r="J11" s="16">
        <f>J9/L9</f>
        <v>1</v>
      </c>
      <c r="K11" s="16">
        <f>K10/L10</f>
        <v>1</v>
      </c>
      <c r="L11" s="18">
        <v>1</v>
      </c>
      <c r="M11" s="19">
        <v>1</v>
      </c>
      <c r="P11" s="32" t="s">
        <v>2</v>
      </c>
      <c r="Q11" s="8"/>
    </row>
    <row r="12" spans="1:17" x14ac:dyDescent="0.2">
      <c r="G12" s="23"/>
      <c r="H12" s="17" t="str">
        <f>M7</f>
        <v>T</v>
      </c>
      <c r="I12" s="16">
        <f>I8/M8</f>
        <v>1</v>
      </c>
      <c r="J12" s="16">
        <f>J9/M9</f>
        <v>1</v>
      </c>
      <c r="K12" s="16">
        <f>K10/M10</f>
        <v>1</v>
      </c>
      <c r="L12" s="16">
        <f>L11/M11</f>
        <v>1</v>
      </c>
      <c r="M12" s="18">
        <v>1</v>
      </c>
      <c r="P12" s="32" t="s">
        <v>3</v>
      </c>
      <c r="Q12" s="8" t="s">
        <v>24</v>
      </c>
    </row>
    <row r="13" spans="1:17" x14ac:dyDescent="0.2">
      <c r="G13" s="14"/>
      <c r="P13" s="8"/>
      <c r="Q13" s="8"/>
    </row>
    <row r="14" spans="1:17" x14ac:dyDescent="0.2">
      <c r="H14" s="20" t="s">
        <v>17</v>
      </c>
      <c r="I14" s="31">
        <f>SUM(I$8:I$12)</f>
        <v>5</v>
      </c>
      <c r="J14" s="31">
        <f>SUM(J$8:J$12)</f>
        <v>5</v>
      </c>
      <c r="K14" s="31">
        <f>SUM(K$8:K$12)</f>
        <v>5</v>
      </c>
      <c r="L14" s="31">
        <f>SUM(L$8:L$12)</f>
        <v>5</v>
      </c>
      <c r="M14" s="31">
        <f>SUM(M$8:M$12)</f>
        <v>5</v>
      </c>
      <c r="P14" s="8"/>
      <c r="Q14" s="8"/>
    </row>
    <row r="15" spans="1:17" x14ac:dyDescent="0.2">
      <c r="P15" s="8"/>
      <c r="Q15" s="8"/>
    </row>
    <row r="16" spans="1:17" x14ac:dyDescent="0.2">
      <c r="G16" s="13" t="s">
        <v>18</v>
      </c>
      <c r="H16" s="13"/>
      <c r="I16" s="13"/>
      <c r="J16" s="13"/>
      <c r="K16" s="13"/>
      <c r="L16" s="13"/>
      <c r="M16" s="13"/>
      <c r="P16" s="8"/>
      <c r="Q16" s="8"/>
    </row>
    <row r="17" spans="7:17" x14ac:dyDescent="0.2">
      <c r="G17" s="14"/>
      <c r="H17" s="51" t="s">
        <v>16</v>
      </c>
      <c r="I17" s="52"/>
      <c r="J17" s="52"/>
      <c r="K17" s="52"/>
      <c r="L17" s="52"/>
      <c r="M17" s="53"/>
      <c r="P17" s="8"/>
      <c r="Q17" s="8"/>
    </row>
    <row r="18" spans="7:17" x14ac:dyDescent="0.2">
      <c r="G18" s="14"/>
      <c r="H18" s="26"/>
      <c r="I18" s="16" t="s">
        <v>10</v>
      </c>
      <c r="J18" s="16" t="s">
        <v>11</v>
      </c>
      <c r="K18" s="16" t="s">
        <v>12</v>
      </c>
      <c r="L18" s="16" t="s">
        <v>13</v>
      </c>
      <c r="M18" s="25" t="s">
        <v>14</v>
      </c>
      <c r="N18" s="21" t="s">
        <v>19</v>
      </c>
      <c r="P18" s="8"/>
      <c r="Q18" s="8"/>
    </row>
    <row r="19" spans="7:17" x14ac:dyDescent="0.2">
      <c r="G19" s="14"/>
      <c r="H19" s="17" t="str">
        <f>I18</f>
        <v>RRH</v>
      </c>
      <c r="I19" s="27">
        <f>I8/SUM($I$8:$I$12)</f>
        <v>0.2</v>
      </c>
      <c r="J19" s="28">
        <f>J8/SUM($J$8:$J$12)</f>
        <v>0.2</v>
      </c>
      <c r="K19" s="28">
        <f>K8/SUM($K$8:$K$12)</f>
        <v>0.2</v>
      </c>
      <c r="L19" s="28">
        <f>L8/SUM($L$8:$L$12)</f>
        <v>0.2</v>
      </c>
      <c r="M19" s="28">
        <f>M8/SUM($M$8:$M$12)</f>
        <v>0.2</v>
      </c>
      <c r="N19" s="29">
        <f>SUM($I19:$M19)/COUNT($I19:$M19)</f>
        <v>0.2</v>
      </c>
      <c r="P19" s="8"/>
      <c r="Q19" s="8"/>
    </row>
    <row r="20" spans="7:17" x14ac:dyDescent="0.2">
      <c r="G20" s="14"/>
      <c r="H20" s="17" t="str">
        <f>J18</f>
        <v>RID</v>
      </c>
      <c r="I20" s="27">
        <f>I9/SUM($I$8:$I$12)</f>
        <v>0.2</v>
      </c>
      <c r="J20" s="27">
        <f>J9/SUM($J$8:$J$12)</f>
        <v>0.2</v>
      </c>
      <c r="K20" s="28">
        <f>K9/SUM($K$8:$K$12)</f>
        <v>0.2</v>
      </c>
      <c r="L20" s="28">
        <f>L9/SUM($L$8:$L$12)</f>
        <v>0.2</v>
      </c>
      <c r="M20" s="28">
        <f>M9/SUM($M$8:$M$12)</f>
        <v>0.2</v>
      </c>
      <c r="N20" s="29">
        <f>SUM($I20:$M20)/COUNT($I20:$M20)</f>
        <v>0.2</v>
      </c>
      <c r="P20" s="8"/>
      <c r="Q20" s="8"/>
    </row>
    <row r="21" spans="7:17" x14ac:dyDescent="0.2">
      <c r="G21" s="14"/>
      <c r="H21" s="17" t="str">
        <f>K18</f>
        <v>Mx</v>
      </c>
      <c r="I21" s="30">
        <f>I10/SUM($I$8:$I$12)</f>
        <v>0.2</v>
      </c>
      <c r="J21" s="28">
        <f>J10/SUM($J$8:$J$12)</f>
        <v>0.2</v>
      </c>
      <c r="K21" s="27">
        <f>K10/SUM($K$8:$K$12)</f>
        <v>0.2</v>
      </c>
      <c r="L21" s="28">
        <f>L10/SUM($L$8:$L$12)</f>
        <v>0.2</v>
      </c>
      <c r="M21" s="28">
        <f>M10/SUM($M$8:$M$12)</f>
        <v>0.2</v>
      </c>
      <c r="N21" s="29">
        <f>SUM($I21:$M21)/COUNT($I21:$M21)</f>
        <v>0.2</v>
      </c>
      <c r="P21" s="8"/>
      <c r="Q21" s="8"/>
    </row>
    <row r="22" spans="7:17" x14ac:dyDescent="0.2">
      <c r="G22" s="14"/>
      <c r="H22" s="17" t="str">
        <f>L18</f>
        <v>MRD</v>
      </c>
      <c r="I22" s="30">
        <f>I11/SUM($I$8:$I$12)</f>
        <v>0.2</v>
      </c>
      <c r="J22" s="28">
        <f>J11/SUM($J$8:$J$12)</f>
        <v>0.2</v>
      </c>
      <c r="K22" s="28">
        <f>K11/SUM($K$8:$K$12)</f>
        <v>0.2</v>
      </c>
      <c r="L22" s="27">
        <f>L11/SUM($L$8:$L$12)</f>
        <v>0.2</v>
      </c>
      <c r="M22" s="28">
        <f>M11/SUM($M$8:$M$12)</f>
        <v>0.2</v>
      </c>
      <c r="N22" s="29">
        <f>SUM($I22:$M22)/COUNT($I22:$M22)</f>
        <v>0.2</v>
      </c>
      <c r="P22" s="8"/>
      <c r="Q22" s="8"/>
    </row>
    <row r="23" spans="7:17" x14ac:dyDescent="0.2">
      <c r="G23" s="14"/>
      <c r="H23" s="17" t="str">
        <f>M18</f>
        <v>T</v>
      </c>
      <c r="I23" s="30">
        <f>I12/SUM($I$8:$I$12)</f>
        <v>0.2</v>
      </c>
      <c r="J23" s="28">
        <f>J12/SUM($J$8:$J$12)</f>
        <v>0.2</v>
      </c>
      <c r="K23" s="28">
        <f>K12/SUM($K$8:$K$12)</f>
        <v>0.2</v>
      </c>
      <c r="L23" s="28">
        <f>L12/SUM($L$8:$L$12)</f>
        <v>0.2</v>
      </c>
      <c r="M23" s="27">
        <f>M12/SUM($M$8:$M$12)</f>
        <v>0.2</v>
      </c>
      <c r="N23" s="29">
        <f>SUM($I23:$M23)/COUNT($I23:$M23)</f>
        <v>0.2</v>
      </c>
      <c r="P23" s="8"/>
      <c r="Q23" s="8"/>
    </row>
    <row r="24" spans="7:17" x14ac:dyDescent="0.2">
      <c r="G24" s="14"/>
      <c r="P24" s="8"/>
      <c r="Q24" s="8"/>
    </row>
    <row r="25" spans="7:17" x14ac:dyDescent="0.2">
      <c r="G25" s="14"/>
      <c r="H25" s="20" t="s">
        <v>17</v>
      </c>
      <c r="I25" s="31">
        <f t="shared" ref="I25:N25" si="0">SUM(I$19:I$23)</f>
        <v>1</v>
      </c>
      <c r="J25" s="31">
        <f t="shared" si="0"/>
        <v>1</v>
      </c>
      <c r="K25" s="31">
        <f t="shared" si="0"/>
        <v>1</v>
      </c>
      <c r="L25" s="31">
        <f t="shared" si="0"/>
        <v>1</v>
      </c>
      <c r="M25" s="31">
        <f t="shared" si="0"/>
        <v>1</v>
      </c>
      <c r="N25" s="31">
        <f t="shared" si="0"/>
        <v>1</v>
      </c>
      <c r="P25" s="8"/>
      <c r="Q25" s="8"/>
    </row>
  </sheetData>
  <mergeCells count="3">
    <mergeCell ref="F2:H2"/>
    <mergeCell ref="H6:M6"/>
    <mergeCell ref="H17:M1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ange_copy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ResourceTable">
                <anchor moveWithCells="1" siz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2</xdr:col>
                    <xdr:colOff>0</xdr:colOff>
                    <xdr:row>11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SetFixDuration">
                <anchor moveWithCells="1" sizeWithCells="1">
                  <from>
                    <xdr:col>1</xdr:col>
                    <xdr:colOff>25400</xdr:colOff>
                    <xdr:row>11</xdr:row>
                    <xdr:rowOff>177800</xdr:rowOff>
                  </from>
                  <to>
                    <xdr:col>1</xdr:col>
                    <xdr:colOff>1282700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SetCalDuration">
                <anchor moveWithCells="1" sizeWithCells="1">
                  <from>
                    <xdr:col>1</xdr:col>
                    <xdr:colOff>25400</xdr:colOff>
                    <xdr:row>16</xdr:row>
                    <xdr:rowOff>12700</xdr:rowOff>
                  </from>
                  <to>
                    <xdr:col>2</xdr:col>
                    <xdr:colOff>0</xdr:colOff>
                    <xdr:row>19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SetFixResource">
                <anchor moveWithCells="1" sizeWithCells="1">
                  <from>
                    <xdr:col>3</xdr:col>
                    <xdr:colOff>12700</xdr:colOff>
                    <xdr:row>4</xdr:row>
                    <xdr:rowOff>0</xdr:rowOff>
                  </from>
                  <to>
                    <xdr:col>4</xdr:col>
                    <xdr:colOff>609600</xdr:colOff>
                    <xdr:row>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SetCalResource">
                <anchor moveWithCells="1" sizeWithCells="1">
                  <from>
                    <xdr:col>3</xdr:col>
                    <xdr:colOff>12700</xdr:colOff>
                    <xdr:row>8</xdr:row>
                    <xdr:rowOff>12700</xdr:rowOff>
                  </from>
                  <to>
                    <xdr:col>4</xdr:col>
                    <xdr:colOff>609600</xdr:colOff>
                    <xdr:row>11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Button 13">
              <controlPr defaultSize="0" print="0" autoFill="0" autoPict="0" macro="[0]!ImportData">
                <anchor moveWithCells="1" sizeWithCells="1">
                  <from>
                    <xdr:col>3</xdr:col>
                    <xdr:colOff>12700</xdr:colOff>
                    <xdr:row>12</xdr:row>
                    <xdr:rowOff>25400</xdr:rowOff>
                  </from>
                  <to>
                    <xdr:col>4</xdr:col>
                    <xdr:colOff>622300</xdr:colOff>
                    <xdr:row>15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1" name="Button 15">
              <controlPr defaultSize="0" print="0" autoFill="0" autoPict="0" macro="[0]!ConvertToMSP">
                <anchor moveWithCells="1" sizeWithCells="1">
                  <from>
                    <xdr:col>2</xdr:col>
                    <xdr:colOff>863600</xdr:colOff>
                    <xdr:row>16</xdr:row>
                    <xdr:rowOff>25400</xdr:rowOff>
                  </from>
                  <to>
                    <xdr:col>4</xdr:col>
                    <xdr:colOff>596900</xdr:colOff>
                    <xdr:row>19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2" name="Button 16">
              <controlPr defaultSize="0" print="0" autoFill="0" autoPict="0" macro="[0]!PrintReportResource">
                <anchor moveWithCells="1" sizeWithCells="1">
                  <from>
                    <xdr:col>1</xdr:col>
                    <xdr:colOff>0</xdr:colOff>
                    <xdr:row>20</xdr:row>
                    <xdr:rowOff>12700</xdr:rowOff>
                  </from>
                  <to>
                    <xdr:col>2</xdr:col>
                    <xdr:colOff>0</xdr:colOff>
                    <xdr:row>23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A251"/>
  <sheetViews>
    <sheetView topLeftCell="L1" workbookViewId="0">
      <pane ySplit="1" topLeftCell="A2" activePane="bottomLeft" state="frozen"/>
      <selection activeCell="D1" sqref="D1"/>
      <selection pane="bottomLeft" activeCell="R3" sqref="R3"/>
    </sheetView>
  </sheetViews>
  <sheetFormatPr baseColWidth="10" defaultColWidth="9" defaultRowHeight="15" x14ac:dyDescent="0.2"/>
  <cols>
    <col min="1" max="1" width="3.83203125" bestFit="1" customWidth="1"/>
    <col min="2" max="2" width="62.6640625" bestFit="1" customWidth="1"/>
    <col min="3" max="3" width="7.6640625" bestFit="1" customWidth="1"/>
    <col min="4" max="4" width="14.83203125" bestFit="1" customWidth="1"/>
    <col min="5" max="5" width="12.6640625" bestFit="1" customWidth="1"/>
    <col min="6" max="6" width="3.6640625" customWidth="1"/>
    <col min="7" max="7" width="9.83203125" bestFit="1" customWidth="1"/>
    <col min="8" max="8" width="14.6640625" bestFit="1" customWidth="1"/>
    <col min="9" max="9" width="8.6640625" customWidth="1"/>
    <col min="10" max="10" width="8.33203125" customWidth="1"/>
    <col min="11" max="14" width="5.83203125" bestFit="1" customWidth="1"/>
    <col min="15" max="15" width="3.83203125" bestFit="1" customWidth="1"/>
    <col min="16" max="16" width="4.33203125" bestFit="1" customWidth="1"/>
    <col min="18" max="18" width="14.6640625" bestFit="1" customWidth="1"/>
    <col min="19" max="19" width="17.6640625" bestFit="1" customWidth="1"/>
    <col min="20" max="20" width="17.33203125" bestFit="1" customWidth="1"/>
    <col min="21" max="22" width="16" bestFit="1" customWidth="1"/>
    <col min="23" max="23" width="16.33203125" bestFit="1" customWidth="1"/>
    <col min="24" max="24" width="8.6640625" bestFit="1" customWidth="1"/>
    <col min="26" max="26" width="13.6640625" bestFit="1" customWidth="1"/>
    <col min="27" max="27" width="14.1640625" bestFit="1" customWidth="1"/>
    <col min="28" max="16384" width="9" style="1"/>
  </cols>
  <sheetData>
    <row r="1" spans="1:27" x14ac:dyDescent="0.2">
      <c r="A1" t="s">
        <v>26</v>
      </c>
      <c r="B1" t="s">
        <v>30</v>
      </c>
      <c r="C1" t="s">
        <v>31</v>
      </c>
      <c r="D1" t="s">
        <v>33</v>
      </c>
      <c r="E1" t="s">
        <v>1015</v>
      </c>
      <c r="F1" t="s">
        <v>1016</v>
      </c>
      <c r="G1" t="s">
        <v>34</v>
      </c>
      <c r="H1" t="s">
        <v>1017</v>
      </c>
      <c r="I1" t="s">
        <v>43</v>
      </c>
      <c r="J1" t="s">
        <v>1018</v>
      </c>
      <c r="K1" t="s">
        <v>1019</v>
      </c>
      <c r="L1" t="s">
        <v>1020</v>
      </c>
      <c r="M1" t="s">
        <v>1021</v>
      </c>
      <c r="N1" t="s">
        <v>1022</v>
      </c>
      <c r="O1" t="s">
        <v>1023</v>
      </c>
      <c r="P1" t="s">
        <v>1024</v>
      </c>
      <c r="V1" t="s">
        <v>1028</v>
      </c>
      <c r="W1" t="s">
        <v>1030</v>
      </c>
      <c r="X1" t="s">
        <v>1025</v>
      </c>
      <c r="Z1" t="s">
        <v>1026</v>
      </c>
      <c r="AA1" t="s">
        <v>1027</v>
      </c>
    </row>
    <row r="2" spans="1:27" x14ac:dyDescent="0.2">
      <c r="A2" s="8" t="s">
        <v>0</v>
      </c>
      <c r="B2" s="8" t="s">
        <v>1075</v>
      </c>
      <c r="C2" s="6"/>
      <c r="D2" s="8"/>
      <c r="F2">
        <v>0</v>
      </c>
      <c r="G2" t="str">
        <f t="shared" ref="G2:G65" si="0">FIND_Successor(A2,$D$2:$D$251,$E$2:$E$251,$F$2:$F$251)</f>
        <v/>
      </c>
      <c r="H2" s="8"/>
      <c r="I2" s="8" t="s">
        <v>47</v>
      </c>
      <c r="J2" s="6"/>
      <c r="K2" t="str">
        <f>IF(I2="No",CAL_ES(A2,D2,E2,F2,$A$2:$A$251,$C$2:$C$251,$K$2:$K$251,$L$2:$L$251,I2,$V$6,$AA$2,P2),"")</f>
        <v/>
      </c>
      <c r="L2" t="str">
        <f>IF(I2="No",CAL_EF(A2,D2,E2,F2,$A$2:$A$251,$C$2:$C$251,$K$2:$K$251,$L$2:$L$251,I2,$AA$2,P2),"")</f>
        <v/>
      </c>
      <c r="M2" t="str">
        <f>IF(I2="No",CAL_LS(A2,G2,$A$2:$N$251,I2,$AA$2),"")</f>
        <v/>
      </c>
      <c r="N2" t="str">
        <f>IF(I2="No",CAL_LF(A2,G2,$A$2:$N$251,I2,$W$6,$AA$2),"")</f>
        <v/>
      </c>
      <c r="O2" t="str">
        <f>IF(I2="No",CAL_TF(K2,L2,N2,C2,$AA$2),"0")</f>
        <v>0</v>
      </c>
      <c r="P2" s="33">
        <v>0</v>
      </c>
      <c r="V2" s="8" t="s">
        <v>1034</v>
      </c>
      <c r="W2" s="8" t="s">
        <v>1366</v>
      </c>
      <c r="AA2" t="s">
        <v>1032</v>
      </c>
    </row>
    <row r="3" spans="1:27" x14ac:dyDescent="0.2">
      <c r="A3" s="8" t="s">
        <v>57</v>
      </c>
      <c r="B3" s="8" t="s">
        <v>1076</v>
      </c>
      <c r="C3" s="6"/>
      <c r="D3" s="8"/>
      <c r="F3">
        <v>0</v>
      </c>
      <c r="G3" t="str">
        <f t="shared" si="0"/>
        <v/>
      </c>
      <c r="H3" s="8"/>
      <c r="I3" s="8" t="s">
        <v>47</v>
      </c>
      <c r="J3" s="6"/>
      <c r="K3" t="str">
        <f>IF(I3="No",CAL_ES(A3,D3,E3,F3,$A$2:$A$251,$C$2:$C$251,$K$2:$K$251,$L$2:$L$251,I3,$V$6,$AA$2,P3),"")</f>
        <v/>
      </c>
      <c r="L3" t="str">
        <f>IF(I3="No",CAL_EF(A3,D3,E3,F3,$A$2:$A$251,$C$2:$C$251,$K$2:$K$251,$L$2:$L$251,I3,$AA$2,P3),"")</f>
        <v/>
      </c>
      <c r="M3" t="str">
        <f>IF(I3="No",CAL_LS(A3,G3,$A$2:$N$251,I3,$AA$2),"")</f>
        <v/>
      </c>
      <c r="N3" t="str">
        <f>IF(I3="No",CAL_LF(A3,G3,$A$2:$N$251,I3,$W$6,$AA$2),"")</f>
        <v/>
      </c>
      <c r="O3" t="str">
        <f>IF(I3="No",CAL_TF(K3,L3,N3,C3,$AA$2),"0")</f>
        <v>0</v>
      </c>
      <c r="P3" s="33">
        <v>0</v>
      </c>
    </row>
    <row r="4" spans="1:27" x14ac:dyDescent="0.2">
      <c r="A4" s="8" t="s">
        <v>1</v>
      </c>
      <c r="B4" s="8" t="s">
        <v>1078</v>
      </c>
      <c r="C4">
        <v>14</v>
      </c>
      <c r="D4" s="8" t="s">
        <v>1079</v>
      </c>
      <c r="F4">
        <v>0</v>
      </c>
      <c r="G4" t="str">
        <f t="shared" si="0"/>
        <v/>
      </c>
      <c r="H4" s="8" t="s">
        <v>1081</v>
      </c>
      <c r="I4" s="8" t="s">
        <v>72</v>
      </c>
      <c r="J4">
        <f>CAL_RESOURCE(Resource_Table!F4,PDM!S8)</f>
        <v>4</v>
      </c>
      <c r="K4" t="e">
        <f>IF(I4="No",CAL_ES(A4,D4,E4,F4,$A$2:$A$251,$C$2:$C$251,$K$2:$K$251,$L$2:$L$251,I4,$V$6,$AA$2,P4),"")</f>
        <v>#VALUE!</v>
      </c>
      <c r="L4" t="e">
        <f>IF(I4="No",CAL_EF(A4,D4,E4,F4,$A$2:$A$251,$C$2:$C$251,$K$2:$K$251,$L$2:$L$251,I4,$AA$2,P4),"")</f>
        <v>#VALUE!</v>
      </c>
      <c r="M4" t="e">
        <f>IF(I4="No",CAL_LS(A4,G4,$A$2:$N$251,I4,$AA$2),"")</f>
        <v>#VALUE!</v>
      </c>
      <c r="N4" t="e">
        <f>IF(I4="No",CAL_LF(A4,G4,$A$2:$N$251,I4,$W$6,$AA$2),"")</f>
        <v>#VALUE!</v>
      </c>
      <c r="O4" t="e">
        <f>IF(I4="No",CAL_TF(K4,L4,N4,C4,$AA$2),"0")</f>
        <v>#VALUE!</v>
      </c>
      <c r="P4" s="33">
        <v>0</v>
      </c>
    </row>
    <row r="5" spans="1:27" x14ac:dyDescent="0.2">
      <c r="A5" s="8" t="s">
        <v>73</v>
      </c>
      <c r="B5" s="8" t="s">
        <v>1082</v>
      </c>
      <c r="C5">
        <v>16</v>
      </c>
      <c r="D5" s="8"/>
      <c r="F5">
        <v>0</v>
      </c>
      <c r="G5" t="str">
        <f t="shared" si="0"/>
        <v>3FS-7 days</v>
      </c>
      <c r="H5" s="8" t="s">
        <v>1081</v>
      </c>
      <c r="I5" s="8" t="s">
        <v>72</v>
      </c>
      <c r="J5">
        <f>CAL_RESOURCE(Resource_Table!F5,PDM!S8)</f>
        <v>4</v>
      </c>
      <c r="K5" t="e">
        <f>IF(I5="No",CAL_ES(A5,D5,E5,F5,$A$2:$A$251,$C$2:$C$251,$K$2:$K$251,$L$2:$L$251,I5,$V$6,$AA$2,P5),"")</f>
        <v>#VALUE!</v>
      </c>
      <c r="L5" t="e">
        <f>IF(I5="No",CAL_EF(A5,D5,E5,F5,$A$2:$A$251,$C$2:$C$251,$K$2:$K$251,$L$2:$L$251,I5,$AA$2,P5),"")</f>
        <v>#VALUE!</v>
      </c>
      <c r="M5" t="e">
        <f>IF(I5="No",CAL_LS(A5,G5,$A$2:$N$251,I5,$AA$2),"")</f>
        <v>#VALUE!</v>
      </c>
      <c r="N5" t="e">
        <f>IF(I5="No",CAL_LF(A5,G5,$A$2:$N$251,I5,$W$6,$AA$2),"")</f>
        <v>#VALUE!</v>
      </c>
      <c r="O5" t="e">
        <f>IF(I5="No",CAL_TF(K5,L5,N5,C5,$AA$2),"0")</f>
        <v>#VALUE!</v>
      </c>
      <c r="P5" s="33">
        <v>0</v>
      </c>
      <c r="V5" t="s">
        <v>1029</v>
      </c>
      <c r="W5" t="s">
        <v>1031</v>
      </c>
    </row>
    <row r="6" spans="1:27" x14ac:dyDescent="0.2">
      <c r="A6" s="8" t="s">
        <v>80</v>
      </c>
      <c r="B6" s="8" t="s">
        <v>1084</v>
      </c>
      <c r="C6" s="6"/>
      <c r="D6" s="8"/>
      <c r="F6">
        <v>0</v>
      </c>
      <c r="G6" t="str">
        <f t="shared" si="0"/>
        <v/>
      </c>
      <c r="H6" s="8"/>
      <c r="I6" s="8" t="s">
        <v>47</v>
      </c>
      <c r="J6" s="6"/>
      <c r="K6" t="str">
        <f>IF(I6="No",CAL_ES(A6,D6,E6,F6,$A$2:$A$251,$C$2:$C$251,$K$2:$K$251,$L$2:$L$251,I6,$V$6,$AA$2,P6),"")</f>
        <v/>
      </c>
      <c r="L6" t="str">
        <f>IF(I6="No",CAL_EF(A6,D6,E6,F6,$A$2:$A$251,$C$2:$C$251,$K$2:$K$251,$L$2:$L$251,I6,$AA$2,P6),"")</f>
        <v/>
      </c>
      <c r="M6" t="str">
        <f>IF(I6="No",CAL_LS(A6,G6,$A$2:$N$251,I6,$AA$2),"")</f>
        <v/>
      </c>
      <c r="N6" t="str">
        <f>IF(I6="No",CAL_LF(A6,G6,$A$2:$N$251,I6,$W$6,$AA$2),"")</f>
        <v/>
      </c>
      <c r="O6" t="str">
        <f>IF(I6="No",CAL_TF(K6,L6,N6,C6,$AA$2),"0")</f>
        <v>0</v>
      </c>
      <c r="P6" s="33">
        <v>0</v>
      </c>
      <c r="V6" t="e">
        <f>DATEVALUE(V2)</f>
        <v>#VALUE!</v>
      </c>
      <c r="W6">
        <f>IFERROR(DATEVALUE(W2),0)</f>
        <v>43961</v>
      </c>
    </row>
    <row r="7" spans="1:27" x14ac:dyDescent="0.2">
      <c r="A7" s="8" t="s">
        <v>2</v>
      </c>
      <c r="B7" s="8" t="s">
        <v>1085</v>
      </c>
      <c r="C7">
        <v>15</v>
      </c>
      <c r="D7" s="8"/>
      <c r="F7">
        <v>0</v>
      </c>
      <c r="G7" t="str">
        <f t="shared" si="0"/>
        <v>7FS+150 days</v>
      </c>
      <c r="H7" s="8" t="s">
        <v>1081</v>
      </c>
      <c r="I7" s="8" t="s">
        <v>72</v>
      </c>
      <c r="J7">
        <f>CAL_RESOURCE(Resource_Table!F7,PDM!S8)</f>
        <v>4</v>
      </c>
      <c r="K7" t="e">
        <f>IF(I7="No",CAL_ES(A7,D7,E7,F7,$A$2:$A$251,$C$2:$C$251,$K$2:$K$251,$L$2:$L$251,I7,$V$6,$AA$2,P7),"")</f>
        <v>#VALUE!</v>
      </c>
      <c r="L7" t="e">
        <f>IF(I7="No",CAL_EF(A7,D7,E7,F7,$A$2:$A$251,$C$2:$C$251,$K$2:$K$251,$L$2:$L$251,I7,$AA$2,P7),"")</f>
        <v>#VALUE!</v>
      </c>
      <c r="M7" t="e">
        <f>IF(I7="No",CAL_LS(A7,G7,$A$2:$N$251,I7,$AA$2),"")</f>
        <v>#VALUE!</v>
      </c>
      <c r="N7" t="e">
        <f>IF(I7="No",CAL_LF(A7,G7,$A$2:$N$251,I7,$W$6,$AA$2),"")</f>
        <v>#VALUE!</v>
      </c>
      <c r="O7" t="e">
        <f>IF(I7="No",CAL_TF(K7,L7,N7,C7,$AA$2),"0")</f>
        <v>#VALUE!</v>
      </c>
      <c r="P7" s="33">
        <v>0</v>
      </c>
      <c r="R7" t="s">
        <v>1362</v>
      </c>
      <c r="S7" t="s">
        <v>1363</v>
      </c>
      <c r="T7" t="s">
        <v>1364</v>
      </c>
      <c r="U7" s="34" t="s">
        <v>1035</v>
      </c>
      <c r="V7" s="35" t="s">
        <v>1036</v>
      </c>
      <c r="W7" s="36" t="s">
        <v>1037</v>
      </c>
    </row>
    <row r="8" spans="1:27" x14ac:dyDescent="0.2">
      <c r="A8" s="8" t="s">
        <v>87</v>
      </c>
      <c r="B8" s="8" t="s">
        <v>1087</v>
      </c>
      <c r="C8">
        <v>15</v>
      </c>
      <c r="D8" s="8" t="s">
        <v>1088</v>
      </c>
      <c r="F8">
        <v>0</v>
      </c>
      <c r="G8" t="str">
        <f t="shared" si="0"/>
        <v>8FS+150 days</v>
      </c>
      <c r="H8" s="8" t="s">
        <v>1081</v>
      </c>
      <c r="I8" s="8" t="s">
        <v>72</v>
      </c>
      <c r="J8">
        <f>CAL_RESOURCE(Resource_Table!F8,PDM!S8)</f>
        <v>4</v>
      </c>
      <c r="K8" t="e">
        <f>IF(I8="No",CAL_ES(A8,D8,E8,F8,$A$2:$A$251,$C$2:$C$251,$K$2:$K$251,$L$2:$L$251,I8,$V$6,$AA$2,P8),"")</f>
        <v>#VALUE!</v>
      </c>
      <c r="L8" t="e">
        <f>IF(I8="No",CAL_EF(A8,D8,E8,F8,$A$2:$A$251,$C$2:$C$251,$K$2:$K$251,$L$2:$L$251,I8,$AA$2,P8),"")</f>
        <v>#VALUE!</v>
      </c>
      <c r="M8" t="e">
        <f>IF(I8="No",CAL_LS(A8,G8,$A$2:$N$251,I8,$AA$2),"")</f>
        <v>#VALUE!</v>
      </c>
      <c r="N8" t="e">
        <f>IF(I8="No",CAL_LF(A8,G8,$A$2:$N$251,I8,$W$6,$AA$2),"")</f>
        <v>#VALUE!</v>
      </c>
      <c r="O8" t="e">
        <f>IF(I8="No",CAL_TF(K8,L8,N8,C8,$AA$2),"0")</f>
        <v>#VALUE!</v>
      </c>
      <c r="P8" s="33">
        <v>0</v>
      </c>
      <c r="R8" s="37" t="s">
        <v>1081</v>
      </c>
      <c r="S8" s="38">
        <v>4</v>
      </c>
      <c r="T8" t="e">
        <f>CheckOverResourceLimit(J2:J251,H2:H251,R8,S8,K2:K251,L2:L251,AA2,V12,V6)</f>
        <v>#VALUE!</v>
      </c>
      <c r="U8" s="34" t="s">
        <v>10</v>
      </c>
      <c r="V8" s="35" t="e">
        <f>CAL_Objective(J2:J251,K2:K251,L2:L251,AA2,V12,V6)</f>
        <v>#VALUE!</v>
      </c>
      <c r="W8" s="36">
        <f>Main!N19</f>
        <v>0.2</v>
      </c>
    </row>
    <row r="9" spans="1:27" x14ac:dyDescent="0.2">
      <c r="A9" s="8" t="s">
        <v>95</v>
      </c>
      <c r="B9" s="8" t="s">
        <v>1090</v>
      </c>
      <c r="C9">
        <v>15</v>
      </c>
      <c r="D9" s="8" t="s">
        <v>1086</v>
      </c>
      <c r="F9">
        <v>0</v>
      </c>
      <c r="G9" t="str">
        <f t="shared" si="0"/>
        <v>9FS+150 days</v>
      </c>
      <c r="H9" s="8" t="s">
        <v>1081</v>
      </c>
      <c r="I9" s="8" t="s">
        <v>72</v>
      </c>
      <c r="J9">
        <f>CAL_RESOURCE(Resource_Table!F9,PDM!S8)</f>
        <v>4</v>
      </c>
      <c r="K9" t="e">
        <f>IF(I9="No",CAL_ES(A9,D9,E9,F9,$A$2:$A$251,$C$2:$C$251,$K$2:$K$251,$L$2:$L$251,I9,$V$6,$AA$2,P9),"")</f>
        <v>#VALUE!</v>
      </c>
      <c r="L9" t="e">
        <f>IF(I9="No",CAL_EF(A9,D9,E9,F9,$A$2:$A$251,$C$2:$C$251,$K$2:$K$251,$L$2:$L$251,I9,$AA$2,P9),"")</f>
        <v>#VALUE!</v>
      </c>
      <c r="M9" t="e">
        <f>IF(I9="No",CAL_LS(A9,G9,$A$2:$N$251,I9,$AA$2),"")</f>
        <v>#VALUE!</v>
      </c>
      <c r="N9" t="e">
        <f>IF(I9="No",CAL_LF(A9,G9,$A$2:$N$251,I9,$W$6,$AA$2),"")</f>
        <v>#VALUE!</v>
      </c>
      <c r="O9" t="e">
        <f>IF(I9="No",CAL_TF(K9,L9,N9,C9,$AA$2),"0")</f>
        <v>#VALUE!</v>
      </c>
      <c r="P9" s="33">
        <v>0</v>
      </c>
      <c r="R9" s="37" t="s">
        <v>1129</v>
      </c>
      <c r="S9" s="38">
        <v>53</v>
      </c>
      <c r="T9" t="e">
        <f>CheckOverResourceLimit(J2:J251,H2:H251,R9,S9,K2:K251,L2:L251,AA2,V12,V6)</f>
        <v>#VALUE!</v>
      </c>
      <c r="U9" s="34" t="s">
        <v>11</v>
      </c>
      <c r="V9" s="35">
        <v>29901</v>
      </c>
      <c r="W9" s="36">
        <f>Main!N20</f>
        <v>0.2</v>
      </c>
    </row>
    <row r="10" spans="1:27" x14ac:dyDescent="0.2">
      <c r="A10" s="8" t="s">
        <v>3</v>
      </c>
      <c r="B10" s="8" t="s">
        <v>1092</v>
      </c>
      <c r="C10">
        <v>15</v>
      </c>
      <c r="D10" s="8" t="s">
        <v>1089</v>
      </c>
      <c r="F10">
        <v>0</v>
      </c>
      <c r="G10" t="str">
        <f t="shared" si="0"/>
        <v>10FS+150 days</v>
      </c>
      <c r="H10" s="8" t="s">
        <v>1081</v>
      </c>
      <c r="I10" s="8" t="s">
        <v>72</v>
      </c>
      <c r="J10">
        <f>CAL_RESOURCE(Resource_Table!F10,PDM!S8)</f>
        <v>4</v>
      </c>
      <c r="K10" t="e">
        <f>IF(I10="No",CAL_ES(A10,D10,E10,F10,$A$2:$A$251,$C$2:$C$251,$K$2:$K$251,$L$2:$L$251,I10,$V$6,$AA$2,P10),"")</f>
        <v>#VALUE!</v>
      </c>
      <c r="L10" t="e">
        <f>IF(I10="No",CAL_EF(A10,D10,E10,F10,$A$2:$A$251,$C$2:$C$251,$K$2:$K$251,$L$2:$L$251,I10,$AA$2,P10),"")</f>
        <v>#VALUE!</v>
      </c>
      <c r="M10" t="e">
        <f>IF(I10="No",CAL_LS(A10,G10,$A$2:$N$251,I10,$AA$2),"")</f>
        <v>#VALUE!</v>
      </c>
      <c r="N10" t="e">
        <f>IF(I10="No",CAL_LF(A10,G10,$A$2:$N$251,I10,$W$6,$AA$2),"")</f>
        <v>#VALUE!</v>
      </c>
      <c r="O10" t="e">
        <f>IF(I10="No",CAL_TF(K10,L10,N10,C10,$AA$2),"0")</f>
        <v>#VALUE!</v>
      </c>
      <c r="P10" s="33">
        <v>0</v>
      </c>
      <c r="R10" s="37" t="s">
        <v>1134</v>
      </c>
      <c r="S10" s="38">
        <v>28</v>
      </c>
      <c r="T10" t="e">
        <f>CheckOverResourceLimit(J2:J251,H2:H251,R10,S10,K2:K251,L2:L251,AA2,V12,V6)</f>
        <v>#VALUE!</v>
      </c>
      <c r="U10" s="34" t="s">
        <v>12</v>
      </c>
      <c r="V10" s="35">
        <v>1009040</v>
      </c>
      <c r="W10" s="36">
        <f>Main!N21</f>
        <v>0.2</v>
      </c>
    </row>
    <row r="11" spans="1:27" x14ac:dyDescent="0.2">
      <c r="A11" s="8" t="s">
        <v>110</v>
      </c>
      <c r="B11" s="8" t="s">
        <v>1094</v>
      </c>
      <c r="C11">
        <v>15</v>
      </c>
      <c r="D11" s="8" t="s">
        <v>1091</v>
      </c>
      <c r="F11">
        <v>0</v>
      </c>
      <c r="G11" t="str">
        <f t="shared" si="0"/>
        <v/>
      </c>
      <c r="H11" s="8" t="s">
        <v>1081</v>
      </c>
      <c r="I11" s="8" t="s">
        <v>72</v>
      </c>
      <c r="J11">
        <f>CAL_RESOURCE(Resource_Table!F11,PDM!S8)</f>
        <v>4</v>
      </c>
      <c r="K11" t="e">
        <f>IF(I11="No",CAL_ES(A11,D11,E11,F11,$A$2:$A$251,$C$2:$C$251,$K$2:$K$251,$L$2:$L$251,I11,$V$6,$AA$2,P11),"")</f>
        <v>#VALUE!</v>
      </c>
      <c r="L11" t="e">
        <f>IF(I11="No",CAL_EF(A11,D11,E11,F11,$A$2:$A$251,$C$2:$C$251,$K$2:$K$251,$L$2:$L$251,I11,$AA$2,P11),"")</f>
        <v>#VALUE!</v>
      </c>
      <c r="M11" t="e">
        <f>IF(I11="No",CAL_LS(A11,G11,$A$2:$N$251,I11,$AA$2),"")</f>
        <v>#VALUE!</v>
      </c>
      <c r="N11" t="e">
        <f>IF(I11="No",CAL_LF(A11,G11,$A$2:$N$251,I11,$W$6,$AA$2),"")</f>
        <v>#VALUE!</v>
      </c>
      <c r="O11" t="e">
        <f>IF(I11="No",CAL_TF(K11,L11,N11,C11,$AA$2),"0")</f>
        <v>#VALUE!</v>
      </c>
      <c r="P11" s="33">
        <v>0</v>
      </c>
      <c r="R11" s="37" t="s">
        <v>1145</v>
      </c>
      <c r="S11" s="38">
        <v>20</v>
      </c>
      <c r="T11" t="e">
        <f>CheckOverResourceLimit(J2:J251,H2:H251,R11,S11,K2:K251,L2:L251,AA2,V12,V6)</f>
        <v>#VALUE!</v>
      </c>
      <c r="U11" s="34" t="s">
        <v>13</v>
      </c>
      <c r="V11" s="35">
        <v>78</v>
      </c>
      <c r="W11" s="36">
        <f>Main!N22</f>
        <v>0.2</v>
      </c>
    </row>
    <row r="12" spans="1:27" x14ac:dyDescent="0.2">
      <c r="A12" s="8" t="s">
        <v>115</v>
      </c>
      <c r="B12" s="8" t="s">
        <v>1095</v>
      </c>
      <c r="C12" s="6"/>
      <c r="D12" s="8"/>
      <c r="F12">
        <v>0</v>
      </c>
      <c r="G12" t="str">
        <f t="shared" si="0"/>
        <v/>
      </c>
      <c r="H12" s="8"/>
      <c r="I12" s="8" t="s">
        <v>47</v>
      </c>
      <c r="J12" s="6"/>
      <c r="K12" t="str">
        <f>IF(I12="No",CAL_ES(A12,D12,E12,F12,$A$2:$A$251,$C$2:$C$251,$K$2:$K$251,$L$2:$L$251,I12,$V$6,$AA$2,P12),"")</f>
        <v/>
      </c>
      <c r="L12" t="str">
        <f>IF(I12="No",CAL_EF(A12,D12,E12,F12,$A$2:$A$251,$C$2:$C$251,$K$2:$K$251,$L$2:$L$251,I12,$AA$2,P12),"")</f>
        <v/>
      </c>
      <c r="M12" t="str">
        <f>IF(I12="No",CAL_LS(A12,G12,$A$2:$N$251,I12,$AA$2),"")</f>
        <v/>
      </c>
      <c r="N12" t="str">
        <f>IF(I12="No",CAL_LF(A12,G12,$A$2:$N$251,I12,$W$6,$AA$2),"")</f>
        <v/>
      </c>
      <c r="O12" t="str">
        <f>IF(I12="No",CAL_TF(K12,L12,N12,C12,$AA$2),"0")</f>
        <v>0</v>
      </c>
      <c r="P12" s="33">
        <v>0</v>
      </c>
      <c r="R12" s="37" t="s">
        <v>1165</v>
      </c>
      <c r="S12" s="38">
        <v>18</v>
      </c>
      <c r="T12" t="e">
        <f>CheckOverResourceLimit(J2:J251,H2:H251,R12,S12,K2:K251,L2:L251,AA2,V12,V6)</f>
        <v>#VALUE!</v>
      </c>
      <c r="U12" s="34" t="s">
        <v>31</v>
      </c>
      <c r="V12" s="35" t="e">
        <f>Sum_Duration(K2:K251,L2:L251,V6,W6,AA2)</f>
        <v>#VALUE!</v>
      </c>
      <c r="W12" s="36">
        <f>Main!N23</f>
        <v>0.2</v>
      </c>
    </row>
    <row r="13" spans="1:27" x14ac:dyDescent="0.2">
      <c r="A13" s="8" t="s">
        <v>117</v>
      </c>
      <c r="B13" s="8" t="s">
        <v>1085</v>
      </c>
      <c r="C13">
        <v>15</v>
      </c>
      <c r="D13" s="8"/>
      <c r="F13">
        <v>0</v>
      </c>
      <c r="G13" t="str">
        <f t="shared" si="0"/>
        <v>13FS+150 days</v>
      </c>
      <c r="H13" s="8" t="s">
        <v>1081</v>
      </c>
      <c r="I13" s="8" t="s">
        <v>72</v>
      </c>
      <c r="J13">
        <f>CAL_RESOURCE(Resource_Table!F13,PDM!S8)</f>
        <v>4</v>
      </c>
      <c r="K13" t="e">
        <f>IF(I13="No",CAL_ES(A13,D13,E13,F13,$A$2:$A$251,$C$2:$C$251,$K$2:$K$251,$L$2:$L$251,I13,$V$6,$AA$2,P13),"")</f>
        <v>#VALUE!</v>
      </c>
      <c r="L13" t="e">
        <f>IF(I13="No",CAL_EF(A13,D13,E13,F13,$A$2:$A$251,$C$2:$C$251,$K$2:$K$251,$L$2:$L$251,I13,$AA$2,P13),"")</f>
        <v>#VALUE!</v>
      </c>
      <c r="M13" t="e">
        <f>IF(I13="No",CAL_LS(A13,G13,$A$2:$N$251,I13,$AA$2),"")</f>
        <v>#VALUE!</v>
      </c>
      <c r="N13" t="e">
        <f>IF(I13="No",CAL_LF(A13,G13,$A$2:$N$251,I13,$W$6,$AA$2),"")</f>
        <v>#VALUE!</v>
      </c>
      <c r="O13" t="e">
        <f>IF(I13="No",CAL_TF(K13,L13,N13,C13,$AA$2),"0")</f>
        <v>#VALUE!</v>
      </c>
      <c r="P13" s="33">
        <v>0</v>
      </c>
      <c r="U13" t="s">
        <v>1038</v>
      </c>
      <c r="V13" t="e">
        <f>(V8*W8)+(V9*W9)+(V10*W10)+(V11*W11)+(V12*W12)</f>
        <v>#VALUE!</v>
      </c>
    </row>
    <row r="14" spans="1:27" x14ac:dyDescent="0.2">
      <c r="A14" s="8" t="s">
        <v>119</v>
      </c>
      <c r="B14" s="8" t="s">
        <v>1087</v>
      </c>
      <c r="C14">
        <v>15</v>
      </c>
      <c r="D14" s="8" t="s">
        <v>1097</v>
      </c>
      <c r="F14">
        <v>0</v>
      </c>
      <c r="G14" t="str">
        <f t="shared" si="0"/>
        <v>14FS+150 days</v>
      </c>
      <c r="H14" s="8" t="s">
        <v>1081</v>
      </c>
      <c r="I14" s="8" t="s">
        <v>72</v>
      </c>
      <c r="J14">
        <f>CAL_RESOURCE(Resource_Table!F14,PDM!S8)</f>
        <v>4</v>
      </c>
      <c r="K14" t="e">
        <f>IF(I14="No",CAL_ES(A14,D14,E14,F14,$A$2:$A$251,$C$2:$C$251,$K$2:$K$251,$L$2:$L$251,I14,$V$6,$AA$2,P14),"")</f>
        <v>#VALUE!</v>
      </c>
      <c r="L14" t="e">
        <f>IF(I14="No",CAL_EF(A14,D14,E14,F14,$A$2:$A$251,$C$2:$C$251,$K$2:$K$251,$L$2:$L$251,I14,$AA$2,P14),"")</f>
        <v>#VALUE!</v>
      </c>
      <c r="M14" t="e">
        <f>IF(I14="No",CAL_LS(A14,G14,$A$2:$N$251,I14,$AA$2),"")</f>
        <v>#VALUE!</v>
      </c>
      <c r="N14" t="e">
        <f>IF(I14="No",CAL_LF(A14,G14,$A$2:$N$251,I14,$W$6,$AA$2),"")</f>
        <v>#VALUE!</v>
      </c>
      <c r="O14" t="e">
        <f>IF(I14="No",CAL_TF(K14,L14,N14,C14,$AA$2),"0")</f>
        <v>#VALUE!</v>
      </c>
      <c r="P14" s="33">
        <v>0</v>
      </c>
    </row>
    <row r="15" spans="1:27" x14ac:dyDescent="0.2">
      <c r="A15" s="8" t="s">
        <v>121</v>
      </c>
      <c r="B15" s="8" t="s">
        <v>1090</v>
      </c>
      <c r="C15">
        <v>15</v>
      </c>
      <c r="D15" s="8" t="s">
        <v>1096</v>
      </c>
      <c r="F15">
        <v>0</v>
      </c>
      <c r="G15" t="str">
        <f t="shared" si="0"/>
        <v>15FS+150 days</v>
      </c>
      <c r="H15" s="8" t="s">
        <v>1081</v>
      </c>
      <c r="I15" s="8" t="s">
        <v>72</v>
      </c>
      <c r="J15">
        <f>CAL_RESOURCE(Resource_Table!F15,PDM!S8)</f>
        <v>4</v>
      </c>
      <c r="K15" t="e">
        <f>IF(I15="No",CAL_ES(A15,D15,E15,F15,$A$2:$A$251,$C$2:$C$251,$K$2:$K$251,$L$2:$L$251,I15,$V$6,$AA$2,P15),"")</f>
        <v>#VALUE!</v>
      </c>
      <c r="L15" t="e">
        <f>IF(I15="No",CAL_EF(A15,D15,E15,F15,$A$2:$A$251,$C$2:$C$251,$K$2:$K$251,$L$2:$L$251,I15,$AA$2,P15),"")</f>
        <v>#VALUE!</v>
      </c>
      <c r="M15" t="e">
        <f>IF(I15="No",CAL_LS(A15,G15,$A$2:$N$251,I15,$AA$2),"")</f>
        <v>#VALUE!</v>
      </c>
      <c r="N15" t="e">
        <f>IF(I15="No",CAL_LF(A15,G15,$A$2:$N$251,I15,$W$6,$AA$2),"")</f>
        <v>#VALUE!</v>
      </c>
      <c r="O15" t="e">
        <f>IF(I15="No",CAL_TF(K15,L15,N15,C15,$AA$2),"0")</f>
        <v>#VALUE!</v>
      </c>
      <c r="P15" s="33">
        <v>0</v>
      </c>
    </row>
    <row r="16" spans="1:27" x14ac:dyDescent="0.2">
      <c r="A16" s="8" t="s">
        <v>123</v>
      </c>
      <c r="B16" s="8" t="s">
        <v>1092</v>
      </c>
      <c r="C16">
        <v>15</v>
      </c>
      <c r="D16" s="8" t="s">
        <v>1098</v>
      </c>
      <c r="F16">
        <v>0</v>
      </c>
      <c r="G16" t="str">
        <f t="shared" si="0"/>
        <v>16FS+150 days</v>
      </c>
      <c r="H16" s="8" t="s">
        <v>1081</v>
      </c>
      <c r="I16" s="8" t="s">
        <v>72</v>
      </c>
      <c r="J16">
        <f>CAL_RESOURCE(Resource_Table!F16,PDM!S8)</f>
        <v>4</v>
      </c>
      <c r="K16" t="e">
        <f>IF(I16="No",CAL_ES(A16,D16,E16,F16,$A$2:$A$251,$C$2:$C$251,$K$2:$K$251,$L$2:$L$251,I16,$V$6,$AA$2,P16),"")</f>
        <v>#VALUE!</v>
      </c>
      <c r="L16" t="e">
        <f>IF(I16="No",CAL_EF(A16,D16,E16,F16,$A$2:$A$251,$C$2:$C$251,$K$2:$K$251,$L$2:$L$251,I16,$AA$2,P16),"")</f>
        <v>#VALUE!</v>
      </c>
      <c r="M16" t="e">
        <f>IF(I16="No",CAL_LS(A16,G16,$A$2:$N$251,I16,$AA$2),"")</f>
        <v>#VALUE!</v>
      </c>
      <c r="N16" t="e">
        <f>IF(I16="No",CAL_LF(A16,G16,$A$2:$N$251,I16,$W$6,$AA$2),"")</f>
        <v>#VALUE!</v>
      </c>
      <c r="O16" t="e">
        <f>IF(I16="No",CAL_TF(K16,L16,N16,C16,$AA$2),"0")</f>
        <v>#VALUE!</v>
      </c>
      <c r="P16" s="33">
        <v>0</v>
      </c>
    </row>
    <row r="17" spans="1:16" x14ac:dyDescent="0.2">
      <c r="A17" s="8" t="s">
        <v>125</v>
      </c>
      <c r="B17" s="8" t="s">
        <v>1094</v>
      </c>
      <c r="C17">
        <v>15</v>
      </c>
      <c r="D17" s="8" t="s">
        <v>1099</v>
      </c>
      <c r="F17">
        <v>0</v>
      </c>
      <c r="G17" t="str">
        <f t="shared" si="0"/>
        <v/>
      </c>
      <c r="H17" s="8" t="s">
        <v>1081</v>
      </c>
      <c r="I17" s="8" t="s">
        <v>72</v>
      </c>
      <c r="J17">
        <f>CAL_RESOURCE(Resource_Table!F17,PDM!S8)</f>
        <v>4</v>
      </c>
      <c r="K17" t="e">
        <f>IF(I17="No",CAL_ES(A17,D17,E17,F17,$A$2:$A$251,$C$2:$C$251,$K$2:$K$251,$L$2:$L$251,I17,$V$6,$AA$2,P17),"")</f>
        <v>#VALUE!</v>
      </c>
      <c r="L17" t="e">
        <f>IF(I17="No",CAL_EF(A17,D17,E17,F17,$A$2:$A$251,$C$2:$C$251,$K$2:$K$251,$L$2:$L$251,I17,$AA$2,P17),"")</f>
        <v>#VALUE!</v>
      </c>
      <c r="M17" t="e">
        <f>IF(I17="No",CAL_LS(A17,G17,$A$2:$N$251,I17,$AA$2),"")</f>
        <v>#VALUE!</v>
      </c>
      <c r="N17" t="e">
        <f>IF(I17="No",CAL_LF(A17,G17,$A$2:$N$251,I17,$W$6,$AA$2),"")</f>
        <v>#VALUE!</v>
      </c>
      <c r="O17" t="e">
        <f>IF(I17="No",CAL_TF(K17,L17,N17,C17,$AA$2),"0")</f>
        <v>#VALUE!</v>
      </c>
      <c r="P17" s="33">
        <v>0</v>
      </c>
    </row>
    <row r="18" spans="1:16" x14ac:dyDescent="0.2">
      <c r="A18" s="8" t="s">
        <v>127</v>
      </c>
      <c r="B18" s="8" t="s">
        <v>1101</v>
      </c>
      <c r="C18" s="6"/>
      <c r="D18" s="8"/>
      <c r="F18">
        <v>0</v>
      </c>
      <c r="G18" t="str">
        <f t="shared" si="0"/>
        <v/>
      </c>
      <c r="H18" s="8"/>
      <c r="I18" s="8" t="s">
        <v>47</v>
      </c>
      <c r="J18" s="6"/>
      <c r="K18" t="str">
        <f>IF(I18="No",CAL_ES(A18,D18,E18,F18,$A$2:$A$251,$C$2:$C$251,$K$2:$K$251,$L$2:$L$251,I18,$V$6,$AA$2,P18),"")</f>
        <v/>
      </c>
      <c r="L18" t="str">
        <f>IF(I18="No",CAL_EF(A18,D18,E18,F18,$A$2:$A$251,$C$2:$C$251,$K$2:$K$251,$L$2:$L$251,I18,$AA$2,P18),"")</f>
        <v/>
      </c>
      <c r="M18" t="str">
        <f>IF(I18="No",CAL_LS(A18,G18,$A$2:$N$251,I18,$AA$2),"")</f>
        <v/>
      </c>
      <c r="N18" t="str">
        <f>IF(I18="No",CAL_LF(A18,G18,$A$2:$N$251,I18,$W$6,$AA$2),"")</f>
        <v/>
      </c>
      <c r="O18" t="str">
        <f>IF(I18="No",CAL_TF(K18,L18,N18,C18,$AA$2),"0")</f>
        <v>0</v>
      </c>
      <c r="P18" s="33">
        <v>0</v>
      </c>
    </row>
    <row r="19" spans="1:16" x14ac:dyDescent="0.2">
      <c r="A19" s="8" t="s">
        <v>133</v>
      </c>
      <c r="B19" s="8" t="s">
        <v>1103</v>
      </c>
      <c r="C19">
        <v>20</v>
      </c>
      <c r="D19" s="8"/>
      <c r="F19">
        <v>0</v>
      </c>
      <c r="G19" t="str">
        <f t="shared" si="0"/>
        <v>19,25SS+14 days,26SS+14 days</v>
      </c>
      <c r="H19" s="8" t="s">
        <v>1081</v>
      </c>
      <c r="I19" s="8" t="s">
        <v>72</v>
      </c>
      <c r="J19">
        <f>CAL_RESOURCE(Resource_Table!F19,PDM!S8)</f>
        <v>4</v>
      </c>
      <c r="K19" t="e">
        <f>IF(I19="No",CAL_ES(A19,D19,E19,F19,$A$2:$A$251,$C$2:$C$251,$K$2:$K$251,$L$2:$L$251,I19,$V$6,$AA$2,P19),"")</f>
        <v>#VALUE!</v>
      </c>
      <c r="L19" t="e">
        <f>IF(I19="No",CAL_EF(A19,D19,E19,F19,$A$2:$A$251,$C$2:$C$251,$K$2:$K$251,$L$2:$L$251,I19,$AA$2,P19),"")</f>
        <v>#VALUE!</v>
      </c>
      <c r="M19" t="e">
        <f>IF(I19="No",CAL_LS(A19,G19,$A$2:$N$251,I19,$AA$2),"")</f>
        <v>#VALUE!</v>
      </c>
      <c r="N19" t="e">
        <f>IF(I19="No",CAL_LF(A19,G19,$A$2:$N$251,I19,$W$6,$AA$2),"")</f>
        <v>#VALUE!</v>
      </c>
      <c r="O19" t="e">
        <f>IF(I19="No",CAL_TF(K19,L19,N19,C19,$AA$2),"0")</f>
        <v>#VALUE!</v>
      </c>
      <c r="P19" s="33">
        <v>0</v>
      </c>
    </row>
    <row r="20" spans="1:16" x14ac:dyDescent="0.2">
      <c r="A20" s="8" t="s">
        <v>139</v>
      </c>
      <c r="B20" s="8" t="s">
        <v>1105</v>
      </c>
      <c r="C20">
        <v>20</v>
      </c>
      <c r="D20" s="8" t="s">
        <v>133</v>
      </c>
      <c r="F20">
        <v>0</v>
      </c>
      <c r="G20" t="str">
        <f t="shared" si="0"/>
        <v>20FS-7 days</v>
      </c>
      <c r="H20" s="8" t="s">
        <v>1081</v>
      </c>
      <c r="I20" s="8" t="s">
        <v>72</v>
      </c>
      <c r="J20">
        <f>CAL_RESOURCE(Resource_Table!F20,PDM!S8)</f>
        <v>4</v>
      </c>
      <c r="K20" t="e">
        <f>IF(I20="No",CAL_ES(A20,D20,E20,F20,$A$2:$A$251,$C$2:$C$251,$K$2:$K$251,$L$2:$L$251,I20,$V$6,$AA$2,P20),"")</f>
        <v>#VALUE!</v>
      </c>
      <c r="L20" t="e">
        <f>IF(I20="No",CAL_EF(A20,D20,E20,F20,$A$2:$A$251,$C$2:$C$251,$K$2:$K$251,$L$2:$L$251,I20,$AA$2,P20),"")</f>
        <v>#VALUE!</v>
      </c>
      <c r="M20" t="e">
        <f>IF(I20="No",CAL_LS(A20,G20,$A$2:$N$251,I20,$AA$2),"")</f>
        <v>#VALUE!</v>
      </c>
      <c r="N20" t="e">
        <f>IF(I20="No",CAL_LF(A20,G20,$A$2:$N$251,I20,$W$6,$AA$2),"")</f>
        <v>#VALUE!</v>
      </c>
      <c r="O20" t="e">
        <f>IF(I20="No",CAL_TF(K20,L20,N20,C20,$AA$2),"0")</f>
        <v>#VALUE!</v>
      </c>
      <c r="P20" s="33">
        <v>0</v>
      </c>
    </row>
    <row r="21" spans="1:16" x14ac:dyDescent="0.2">
      <c r="A21" s="8" t="s">
        <v>147</v>
      </c>
      <c r="B21" s="8" t="s">
        <v>1108</v>
      </c>
      <c r="C21">
        <v>20</v>
      </c>
      <c r="D21" s="8" t="s">
        <v>1109</v>
      </c>
      <c r="F21">
        <v>0</v>
      </c>
      <c r="G21" t="str">
        <f t="shared" si="0"/>
        <v>21FS-7 days</v>
      </c>
      <c r="H21" s="8" t="s">
        <v>1081</v>
      </c>
      <c r="I21" s="8" t="s">
        <v>72</v>
      </c>
      <c r="J21">
        <f>CAL_RESOURCE(Resource_Table!F21,PDM!S8)</f>
        <v>4</v>
      </c>
      <c r="K21" t="e">
        <f>IF(I21="No",CAL_ES(A21,D21,E21,F21,$A$2:$A$251,$C$2:$C$251,$K$2:$K$251,$L$2:$L$251,I21,$V$6,$AA$2,P21),"")</f>
        <v>#VALUE!</v>
      </c>
      <c r="L21" t="e">
        <f>IF(I21="No",CAL_EF(A21,D21,E21,F21,$A$2:$A$251,$C$2:$C$251,$K$2:$K$251,$L$2:$L$251,I21,$AA$2,P21),"")</f>
        <v>#VALUE!</v>
      </c>
      <c r="M21" t="e">
        <f>IF(I21="No",CAL_LS(A21,G21,$A$2:$N$251,I21,$AA$2),"")</f>
        <v>#VALUE!</v>
      </c>
      <c r="N21" t="e">
        <f>IF(I21="No",CAL_LF(A21,G21,$A$2:$N$251,I21,$W$6,$AA$2),"")</f>
        <v>#VALUE!</v>
      </c>
      <c r="O21" t="e">
        <f>IF(I21="No",CAL_TF(K21,L21,N21,C21,$AA$2),"0")</f>
        <v>#VALUE!</v>
      </c>
      <c r="P21" s="33">
        <v>0</v>
      </c>
    </row>
    <row r="22" spans="1:16" x14ac:dyDescent="0.2">
      <c r="A22" s="8" t="s">
        <v>155</v>
      </c>
      <c r="B22" s="8" t="s">
        <v>1111</v>
      </c>
      <c r="C22">
        <v>20</v>
      </c>
      <c r="D22" s="8" t="s">
        <v>1106</v>
      </c>
      <c r="F22">
        <v>0</v>
      </c>
      <c r="G22" t="str">
        <f t="shared" si="0"/>
        <v>22FS-7 days</v>
      </c>
      <c r="H22" s="8" t="s">
        <v>1081</v>
      </c>
      <c r="I22" s="8" t="s">
        <v>72</v>
      </c>
      <c r="J22">
        <f>CAL_RESOURCE(Resource_Table!F22,PDM!S8)</f>
        <v>4</v>
      </c>
      <c r="K22" t="e">
        <f>IF(I22="No",CAL_ES(A22,D22,E22,F22,$A$2:$A$251,$C$2:$C$251,$K$2:$K$251,$L$2:$L$251,I22,$V$6,$AA$2,P22),"")</f>
        <v>#VALUE!</v>
      </c>
      <c r="L22" t="e">
        <f>IF(I22="No",CAL_EF(A22,D22,E22,F22,$A$2:$A$251,$C$2:$C$251,$K$2:$K$251,$L$2:$L$251,I22,$AA$2,P22),"")</f>
        <v>#VALUE!</v>
      </c>
      <c r="M22" t="e">
        <f>IF(I22="No",CAL_LS(A22,G22,$A$2:$N$251,I22,$AA$2),"")</f>
        <v>#VALUE!</v>
      </c>
      <c r="N22" t="e">
        <f>IF(I22="No",CAL_LF(A22,G22,$A$2:$N$251,I22,$W$6,$AA$2),"")</f>
        <v>#VALUE!</v>
      </c>
      <c r="O22" t="e">
        <f>IF(I22="No",CAL_TF(K22,L22,N22,C22,$AA$2),"0")</f>
        <v>#VALUE!</v>
      </c>
      <c r="P22" s="33">
        <v>0</v>
      </c>
    </row>
    <row r="23" spans="1:16" x14ac:dyDescent="0.2">
      <c r="A23" s="8" t="s">
        <v>163</v>
      </c>
      <c r="B23" s="8" t="s">
        <v>1113</v>
      </c>
      <c r="C23">
        <v>20</v>
      </c>
      <c r="D23" s="8" t="s">
        <v>1110</v>
      </c>
      <c r="F23">
        <v>0</v>
      </c>
      <c r="G23" t="str">
        <f t="shared" si="0"/>
        <v>23FS-7 days</v>
      </c>
      <c r="H23" s="8" t="s">
        <v>1081</v>
      </c>
      <c r="I23" s="8" t="s">
        <v>72</v>
      </c>
      <c r="J23">
        <f>CAL_RESOURCE(Resource_Table!F23,PDM!S8)</f>
        <v>4</v>
      </c>
      <c r="K23" t="e">
        <f>IF(I23="No",CAL_ES(A23,D23,E23,F23,$A$2:$A$251,$C$2:$C$251,$K$2:$K$251,$L$2:$L$251,I23,$V$6,$AA$2,P23),"")</f>
        <v>#VALUE!</v>
      </c>
      <c r="L23" t="e">
        <f>IF(I23="No",CAL_EF(A23,D23,E23,F23,$A$2:$A$251,$C$2:$C$251,$K$2:$K$251,$L$2:$L$251,I23,$AA$2,P23),"")</f>
        <v>#VALUE!</v>
      </c>
      <c r="M23" t="e">
        <f>IF(I23="No",CAL_LS(A23,G23,$A$2:$N$251,I23,$AA$2),"")</f>
        <v>#VALUE!</v>
      </c>
      <c r="N23" t="e">
        <f>IF(I23="No",CAL_LF(A23,G23,$A$2:$N$251,I23,$W$6,$AA$2),"")</f>
        <v>#VALUE!</v>
      </c>
      <c r="O23" t="e">
        <f>IF(I23="No",CAL_TF(K23,L23,N23,C23,$AA$2),"0")</f>
        <v>#VALUE!</v>
      </c>
      <c r="P23" s="33">
        <v>0</v>
      </c>
    </row>
    <row r="24" spans="1:16" x14ac:dyDescent="0.2">
      <c r="A24" s="8" t="s">
        <v>171</v>
      </c>
      <c r="B24" s="8" t="s">
        <v>1115</v>
      </c>
      <c r="C24">
        <v>20</v>
      </c>
      <c r="D24" s="8" t="s">
        <v>1112</v>
      </c>
      <c r="F24">
        <v>0</v>
      </c>
      <c r="G24" t="str">
        <f t="shared" si="0"/>
        <v>24FS-7 days</v>
      </c>
      <c r="H24" s="8" t="s">
        <v>1081</v>
      </c>
      <c r="I24" s="8" t="s">
        <v>72</v>
      </c>
      <c r="J24">
        <f>CAL_RESOURCE(Resource_Table!F24,PDM!S8)</f>
        <v>4</v>
      </c>
      <c r="K24" t="e">
        <f>IF(I24="No",CAL_ES(A24,D24,E24,F24,$A$2:$A$251,$C$2:$C$251,$K$2:$K$251,$L$2:$L$251,I24,$V$6,$AA$2,P24),"")</f>
        <v>#VALUE!</v>
      </c>
      <c r="L24" t="e">
        <f>IF(I24="No",CAL_EF(A24,D24,E24,F24,$A$2:$A$251,$C$2:$C$251,$K$2:$K$251,$L$2:$L$251,I24,$AA$2,P24),"")</f>
        <v>#VALUE!</v>
      </c>
      <c r="M24" t="e">
        <f>IF(I24="No",CAL_LS(A24,G24,$A$2:$N$251,I24,$AA$2),"")</f>
        <v>#VALUE!</v>
      </c>
      <c r="N24" t="e">
        <f>IF(I24="No",CAL_LF(A24,G24,$A$2:$N$251,I24,$W$6,$AA$2),"")</f>
        <v>#VALUE!</v>
      </c>
      <c r="O24" t="e">
        <f>IF(I24="No",CAL_TF(K24,L24,N24,C24,$AA$2),"0")</f>
        <v>#VALUE!</v>
      </c>
      <c r="P24" s="33">
        <v>0</v>
      </c>
    </row>
    <row r="25" spans="1:16" x14ac:dyDescent="0.2">
      <c r="A25" s="8" t="s">
        <v>178</v>
      </c>
      <c r="B25" s="8" t="s">
        <v>1117</v>
      </c>
      <c r="C25">
        <v>20</v>
      </c>
      <c r="D25" s="8" t="s">
        <v>1114</v>
      </c>
      <c r="F25">
        <v>0</v>
      </c>
      <c r="G25" t="str">
        <f t="shared" si="0"/>
        <v/>
      </c>
      <c r="H25" s="8" t="s">
        <v>1081</v>
      </c>
      <c r="I25" s="8" t="s">
        <v>72</v>
      </c>
      <c r="J25">
        <f>CAL_RESOURCE(Resource_Table!F25,PDM!S8)</f>
        <v>4</v>
      </c>
      <c r="K25" t="e">
        <f>IF(I25="No",CAL_ES(A25,D25,E25,F25,$A$2:$A$251,$C$2:$C$251,$K$2:$K$251,$L$2:$L$251,I25,$V$6,$AA$2,P25),"")</f>
        <v>#VALUE!</v>
      </c>
      <c r="L25" t="e">
        <f>IF(I25="No",CAL_EF(A25,D25,E25,F25,$A$2:$A$251,$C$2:$C$251,$K$2:$K$251,$L$2:$L$251,I25,$AA$2,P25),"")</f>
        <v>#VALUE!</v>
      </c>
      <c r="M25" t="e">
        <f>IF(I25="No",CAL_LS(A25,G25,$A$2:$N$251,I25,$AA$2),"")</f>
        <v>#VALUE!</v>
      </c>
      <c r="N25" t="e">
        <f>IF(I25="No",CAL_LF(A25,G25,$A$2:$N$251,I25,$W$6,$AA$2),"")</f>
        <v>#VALUE!</v>
      </c>
      <c r="O25" t="e">
        <f>IF(I25="No",CAL_TF(K25,L25,N25,C25,$AA$2),"0")</f>
        <v>#VALUE!</v>
      </c>
      <c r="P25" s="33">
        <v>0</v>
      </c>
    </row>
    <row r="26" spans="1:16" x14ac:dyDescent="0.2">
      <c r="A26" s="8" t="s">
        <v>185</v>
      </c>
      <c r="B26" s="8" t="s">
        <v>1118</v>
      </c>
      <c r="C26">
        <v>92</v>
      </c>
      <c r="D26" s="8" t="s">
        <v>1119</v>
      </c>
      <c r="F26">
        <v>0</v>
      </c>
      <c r="G26" t="str">
        <f t="shared" si="0"/>
        <v/>
      </c>
      <c r="H26" s="8" t="s">
        <v>1081</v>
      </c>
      <c r="I26" s="8" t="s">
        <v>72</v>
      </c>
      <c r="J26">
        <f>CAL_RESOURCE(Resource_Table!F26,PDM!S8)</f>
        <v>4</v>
      </c>
      <c r="K26" t="e">
        <f>IF(I26="No",CAL_ES(A26,D26,E26,F26,$A$2:$A$251,$C$2:$C$251,$K$2:$K$251,$L$2:$L$251,I26,$V$6,$AA$2,P26),"")</f>
        <v>#VALUE!</v>
      </c>
      <c r="L26" t="e">
        <f>IF(I26="No",CAL_EF(A26,D26,E26,F26,$A$2:$A$251,$C$2:$C$251,$K$2:$K$251,$L$2:$L$251,I26,$AA$2,P26),"")</f>
        <v>#VALUE!</v>
      </c>
      <c r="M26" t="e">
        <f>IF(I26="No",CAL_LS(A26,G26,$A$2:$N$251,I26,$AA$2),"")</f>
        <v>#VALUE!</v>
      </c>
      <c r="N26" t="e">
        <f>IF(I26="No",CAL_LF(A26,G26,$A$2:$N$251,I26,$W$6,$AA$2),"")</f>
        <v>#VALUE!</v>
      </c>
      <c r="O26" t="e">
        <f>IF(I26="No",CAL_TF(K26,L26,N26,C26,$AA$2),"0")</f>
        <v>#VALUE!</v>
      </c>
      <c r="P26" s="33">
        <v>0</v>
      </c>
    </row>
    <row r="27" spans="1:16" x14ac:dyDescent="0.2">
      <c r="A27" s="8" t="s">
        <v>190</v>
      </c>
      <c r="B27" s="8" t="s">
        <v>1120</v>
      </c>
      <c r="C27">
        <v>92</v>
      </c>
      <c r="D27" s="8" t="s">
        <v>1119</v>
      </c>
      <c r="F27">
        <v>0</v>
      </c>
      <c r="G27" t="str">
        <f t="shared" si="0"/>
        <v/>
      </c>
      <c r="H27" s="8" t="s">
        <v>1081</v>
      </c>
      <c r="I27" s="8" t="s">
        <v>72</v>
      </c>
      <c r="J27">
        <f>CAL_RESOURCE(Resource_Table!F27,PDM!S8)</f>
        <v>4</v>
      </c>
      <c r="K27" t="e">
        <f>IF(I27="No",CAL_ES(A27,D27,E27,F27,$A$2:$A$251,$C$2:$C$251,$K$2:$K$251,$L$2:$L$251,I27,$V$6,$AA$2,P27),"")</f>
        <v>#VALUE!</v>
      </c>
      <c r="L27" t="e">
        <f>IF(I27="No",CAL_EF(A27,D27,E27,F27,$A$2:$A$251,$C$2:$C$251,$K$2:$K$251,$L$2:$L$251,I27,$AA$2,P27),"")</f>
        <v>#VALUE!</v>
      </c>
      <c r="M27" t="e">
        <f>IF(I27="No",CAL_LS(A27,G27,$A$2:$N$251,I27,$AA$2),"")</f>
        <v>#VALUE!</v>
      </c>
      <c r="N27" t="e">
        <f>IF(I27="No",CAL_LF(A27,G27,$A$2:$N$251,I27,$W$6,$AA$2),"")</f>
        <v>#VALUE!</v>
      </c>
      <c r="O27" t="e">
        <f>IF(I27="No",CAL_TF(K27,L27,N27,C27,$AA$2),"0")</f>
        <v>#VALUE!</v>
      </c>
      <c r="P27" s="33">
        <v>0</v>
      </c>
    </row>
    <row r="28" spans="1:16" x14ac:dyDescent="0.2">
      <c r="A28" s="8" t="s">
        <v>192</v>
      </c>
      <c r="B28" s="8" t="s">
        <v>1121</v>
      </c>
      <c r="C28" s="6"/>
      <c r="D28" s="8"/>
      <c r="F28">
        <v>0</v>
      </c>
      <c r="G28" t="str">
        <f t="shared" si="0"/>
        <v/>
      </c>
      <c r="H28" s="8"/>
      <c r="I28" s="8" t="s">
        <v>47</v>
      </c>
      <c r="J28" s="6"/>
      <c r="K28" t="str">
        <f>IF(I28="No",CAL_ES(A28,D28,E28,F28,$A$2:$A$251,$C$2:$C$251,$K$2:$K$251,$L$2:$L$251,I28,$V$6,$AA$2,P28),"")</f>
        <v/>
      </c>
      <c r="L28" t="str">
        <f>IF(I28="No",CAL_EF(A28,D28,E28,F28,$A$2:$A$251,$C$2:$C$251,$K$2:$K$251,$L$2:$L$251,I28,$AA$2,P28),"")</f>
        <v/>
      </c>
      <c r="M28" t="str">
        <f>IF(I28="No",CAL_LS(A28,G28,$A$2:$N$251,I28,$AA$2),"")</f>
        <v/>
      </c>
      <c r="N28" t="str">
        <f>IF(I28="No",CAL_LF(A28,G28,$A$2:$N$251,I28,$W$6,$AA$2),"")</f>
        <v/>
      </c>
      <c r="O28" t="str">
        <f>IF(I28="No",CAL_TF(K28,L28,N28,C28,$AA$2),"0")</f>
        <v>0</v>
      </c>
      <c r="P28" s="33">
        <v>0</v>
      </c>
    </row>
    <row r="29" spans="1:16" x14ac:dyDescent="0.2">
      <c r="A29" s="8" t="s">
        <v>198</v>
      </c>
      <c r="B29" s="8" t="s">
        <v>1085</v>
      </c>
      <c r="C29">
        <v>30</v>
      </c>
      <c r="D29" s="8"/>
      <c r="F29">
        <v>0</v>
      </c>
      <c r="G29" t="str">
        <f t="shared" si="0"/>
        <v/>
      </c>
      <c r="H29" s="8" t="s">
        <v>1081</v>
      </c>
      <c r="I29" s="8" t="s">
        <v>72</v>
      </c>
      <c r="J29">
        <f>CAL_RESOURCE(Resource_Table!F29,PDM!S8)</f>
        <v>4</v>
      </c>
      <c r="K29" t="e">
        <f>IF(I29="No",CAL_ES(A29,D29,E29,F29,$A$2:$A$251,$C$2:$C$251,$K$2:$K$251,$L$2:$L$251,I29,$V$6,$AA$2,P29),"")</f>
        <v>#VALUE!</v>
      </c>
      <c r="L29" t="e">
        <f>IF(I29="No",CAL_EF(A29,D29,E29,F29,$A$2:$A$251,$C$2:$C$251,$K$2:$K$251,$L$2:$L$251,I29,$AA$2,P29),"")</f>
        <v>#VALUE!</v>
      </c>
      <c r="M29" t="e">
        <f>IF(I29="No",CAL_LS(A29,G29,$A$2:$N$251,I29,$AA$2),"")</f>
        <v>#VALUE!</v>
      </c>
      <c r="N29" t="e">
        <f>IF(I29="No",CAL_LF(A29,G29,$A$2:$N$251,I29,$W$6,$AA$2),"")</f>
        <v>#VALUE!</v>
      </c>
      <c r="O29" t="e">
        <f>IF(I29="No",CAL_TF(K29,L29,N29,C29,$AA$2),"0")</f>
        <v>#VALUE!</v>
      </c>
      <c r="P29" s="33">
        <v>0</v>
      </c>
    </row>
    <row r="30" spans="1:16" x14ac:dyDescent="0.2">
      <c r="A30" s="8" t="s">
        <v>200</v>
      </c>
      <c r="B30" s="8" t="s">
        <v>1087</v>
      </c>
      <c r="C30">
        <v>30</v>
      </c>
      <c r="D30" s="8"/>
      <c r="F30">
        <v>0</v>
      </c>
      <c r="G30" t="str">
        <f t="shared" si="0"/>
        <v/>
      </c>
      <c r="H30" s="8" t="s">
        <v>1081</v>
      </c>
      <c r="I30" s="8" t="s">
        <v>72</v>
      </c>
      <c r="J30">
        <f>CAL_RESOURCE(Resource_Table!F30,PDM!S8)</f>
        <v>4</v>
      </c>
      <c r="K30" t="e">
        <f>IF(I30="No",CAL_ES(A30,D30,E30,F30,$A$2:$A$251,$C$2:$C$251,$K$2:$K$251,$L$2:$L$251,I30,$V$6,$AA$2,P30),"")</f>
        <v>#VALUE!</v>
      </c>
      <c r="L30" t="e">
        <f>IF(I30="No",CAL_EF(A30,D30,E30,F30,$A$2:$A$251,$C$2:$C$251,$K$2:$K$251,$L$2:$L$251,I30,$AA$2,P30),"")</f>
        <v>#VALUE!</v>
      </c>
      <c r="M30" t="e">
        <f>IF(I30="No",CAL_LS(A30,G30,$A$2:$N$251,I30,$AA$2),"")</f>
        <v>#VALUE!</v>
      </c>
      <c r="N30" t="e">
        <f>IF(I30="No",CAL_LF(A30,G30,$A$2:$N$251,I30,$W$6,$AA$2),"")</f>
        <v>#VALUE!</v>
      </c>
      <c r="O30" t="e">
        <f>IF(I30="No",CAL_TF(K30,L30,N30,C30,$AA$2),"0")</f>
        <v>#VALUE!</v>
      </c>
      <c r="P30" s="33">
        <v>0</v>
      </c>
    </row>
    <row r="31" spans="1:16" x14ac:dyDescent="0.2">
      <c r="A31" s="8" t="s">
        <v>202</v>
      </c>
      <c r="B31" s="8" t="s">
        <v>1090</v>
      </c>
      <c r="C31">
        <v>30</v>
      </c>
      <c r="D31" s="8"/>
      <c r="F31">
        <v>0</v>
      </c>
      <c r="G31" t="str">
        <f t="shared" si="0"/>
        <v/>
      </c>
      <c r="H31" s="8" t="s">
        <v>1081</v>
      </c>
      <c r="I31" s="8" t="s">
        <v>72</v>
      </c>
      <c r="J31">
        <f>CAL_RESOURCE(Resource_Table!F31,PDM!S8)</f>
        <v>4</v>
      </c>
      <c r="K31" t="e">
        <f>IF(I31="No",CAL_ES(A31,D31,E31,F31,$A$2:$A$251,$C$2:$C$251,$K$2:$K$251,$L$2:$L$251,I31,$V$6,$AA$2,P31),"")</f>
        <v>#VALUE!</v>
      </c>
      <c r="L31" t="e">
        <f>IF(I31="No",CAL_EF(A31,D31,E31,F31,$A$2:$A$251,$C$2:$C$251,$K$2:$K$251,$L$2:$L$251,I31,$AA$2,P31),"")</f>
        <v>#VALUE!</v>
      </c>
      <c r="M31" t="e">
        <f>IF(I31="No",CAL_LS(A31,G31,$A$2:$N$251,I31,$AA$2),"")</f>
        <v>#VALUE!</v>
      </c>
      <c r="N31" t="e">
        <f>IF(I31="No",CAL_LF(A31,G31,$A$2:$N$251,I31,$W$6,$AA$2),"")</f>
        <v>#VALUE!</v>
      </c>
      <c r="O31" t="e">
        <f>IF(I31="No",CAL_TF(K31,L31,N31,C31,$AA$2),"0")</f>
        <v>#VALUE!</v>
      </c>
      <c r="P31" s="33">
        <v>0</v>
      </c>
    </row>
    <row r="32" spans="1:16" x14ac:dyDescent="0.2">
      <c r="A32" s="8" t="s">
        <v>204</v>
      </c>
      <c r="B32" s="8" t="s">
        <v>1092</v>
      </c>
      <c r="C32">
        <v>30</v>
      </c>
      <c r="D32" s="8"/>
      <c r="F32">
        <v>0</v>
      </c>
      <c r="G32" t="str">
        <f t="shared" si="0"/>
        <v/>
      </c>
      <c r="H32" s="8" t="s">
        <v>1081</v>
      </c>
      <c r="I32" s="8" t="s">
        <v>72</v>
      </c>
      <c r="J32">
        <f>CAL_RESOURCE(Resource_Table!F32,PDM!S8)</f>
        <v>4</v>
      </c>
      <c r="K32" t="e">
        <f>IF(I32="No",CAL_ES(A32,D32,E32,F32,$A$2:$A$251,$C$2:$C$251,$K$2:$K$251,$L$2:$L$251,I32,$V$6,$AA$2,P32),"")</f>
        <v>#VALUE!</v>
      </c>
      <c r="L32" t="e">
        <f>IF(I32="No",CAL_EF(A32,D32,E32,F32,$A$2:$A$251,$C$2:$C$251,$K$2:$K$251,$L$2:$L$251,I32,$AA$2,P32),"")</f>
        <v>#VALUE!</v>
      </c>
      <c r="M32" t="e">
        <f>IF(I32="No",CAL_LS(A32,G32,$A$2:$N$251,I32,$AA$2),"")</f>
        <v>#VALUE!</v>
      </c>
      <c r="N32" t="e">
        <f>IF(I32="No",CAL_LF(A32,G32,$A$2:$N$251,I32,$W$6,$AA$2),"")</f>
        <v>#VALUE!</v>
      </c>
      <c r="O32" t="e">
        <f>IF(I32="No",CAL_TF(K32,L32,N32,C32,$AA$2),"0")</f>
        <v>#VALUE!</v>
      </c>
      <c r="P32" s="33">
        <v>0</v>
      </c>
    </row>
    <row r="33" spans="1:16" x14ac:dyDescent="0.2">
      <c r="A33" s="8" t="s">
        <v>206</v>
      </c>
      <c r="B33" s="8" t="s">
        <v>1122</v>
      </c>
      <c r="C33">
        <v>30</v>
      </c>
      <c r="D33" s="8"/>
      <c r="F33">
        <v>0</v>
      </c>
      <c r="G33" t="str">
        <f t="shared" si="0"/>
        <v/>
      </c>
      <c r="H33" s="8" t="s">
        <v>1081</v>
      </c>
      <c r="I33" s="8" t="s">
        <v>72</v>
      </c>
      <c r="J33">
        <f>CAL_RESOURCE(Resource_Table!F33,PDM!S8)</f>
        <v>4</v>
      </c>
      <c r="K33" t="e">
        <f>IF(I33="No",CAL_ES(A33,D33,E33,F33,$A$2:$A$251,$C$2:$C$251,$K$2:$K$251,$L$2:$L$251,I33,$V$6,$AA$2,P33),"")</f>
        <v>#VALUE!</v>
      </c>
      <c r="L33" t="e">
        <f>IF(I33="No",CAL_EF(A33,D33,E33,F33,$A$2:$A$251,$C$2:$C$251,$K$2:$K$251,$L$2:$L$251,I33,$AA$2,P33),"")</f>
        <v>#VALUE!</v>
      </c>
      <c r="M33" t="e">
        <f>IF(I33="No",CAL_LS(A33,G33,$A$2:$N$251,I33,$AA$2),"")</f>
        <v>#VALUE!</v>
      </c>
      <c r="N33" t="e">
        <f>IF(I33="No",CAL_LF(A33,G33,$A$2:$N$251,I33,$W$6,$AA$2),"")</f>
        <v>#VALUE!</v>
      </c>
      <c r="O33" t="e">
        <f>IF(I33="No",CAL_TF(K33,L33,N33,C33,$AA$2),"0")</f>
        <v>#VALUE!</v>
      </c>
      <c r="P33" s="33">
        <v>0</v>
      </c>
    </row>
    <row r="34" spans="1:16" x14ac:dyDescent="0.2">
      <c r="A34" s="8" t="s">
        <v>208</v>
      </c>
      <c r="B34" s="8" t="s">
        <v>1123</v>
      </c>
      <c r="C34">
        <v>30</v>
      </c>
      <c r="D34" s="8"/>
      <c r="F34">
        <v>0</v>
      </c>
      <c r="G34" t="str">
        <f t="shared" si="0"/>
        <v/>
      </c>
      <c r="H34" s="8" t="s">
        <v>1081</v>
      </c>
      <c r="I34" s="8" t="s">
        <v>72</v>
      </c>
      <c r="J34">
        <f>CAL_RESOURCE(Resource_Table!F34,PDM!S8)</f>
        <v>4</v>
      </c>
      <c r="K34" t="e">
        <f>IF(I34="No",CAL_ES(A34,D34,E34,F34,$A$2:$A$251,$C$2:$C$251,$K$2:$K$251,$L$2:$L$251,I34,$V$6,$AA$2,P34),"")</f>
        <v>#VALUE!</v>
      </c>
      <c r="L34" t="e">
        <f>IF(I34="No",CAL_EF(A34,D34,E34,F34,$A$2:$A$251,$C$2:$C$251,$K$2:$K$251,$L$2:$L$251,I34,$AA$2,P34),"")</f>
        <v>#VALUE!</v>
      </c>
      <c r="M34" t="e">
        <f>IF(I34="No",CAL_LS(A34,G34,$A$2:$N$251,I34,$AA$2),"")</f>
        <v>#VALUE!</v>
      </c>
      <c r="N34" t="e">
        <f>IF(I34="No",CAL_LF(A34,G34,$A$2:$N$251,I34,$W$6,$AA$2),"")</f>
        <v>#VALUE!</v>
      </c>
      <c r="O34" t="e">
        <f>IF(I34="No",CAL_TF(K34,L34,N34,C34,$AA$2),"0")</f>
        <v>#VALUE!</v>
      </c>
      <c r="P34" s="33">
        <v>0</v>
      </c>
    </row>
    <row r="35" spans="1:16" x14ac:dyDescent="0.2">
      <c r="A35" s="8" t="s">
        <v>210</v>
      </c>
      <c r="B35" s="8" t="s">
        <v>1124</v>
      </c>
      <c r="C35">
        <v>0</v>
      </c>
      <c r="D35" s="8"/>
      <c r="F35">
        <v>0</v>
      </c>
      <c r="G35" t="str">
        <f t="shared" si="0"/>
        <v/>
      </c>
      <c r="H35" s="8" t="s">
        <v>1081</v>
      </c>
      <c r="I35" s="8" t="s">
        <v>72</v>
      </c>
      <c r="J35">
        <f>CAL_RESOURCE(Resource_Table!F35,PDM!S8)</f>
        <v>4</v>
      </c>
      <c r="K35" t="e">
        <f>IF(I35="No",CAL_ES(A35,D35,E35,F35,$A$2:$A$251,$C$2:$C$251,$K$2:$K$251,$L$2:$L$251,I35,$V$6,$AA$2,P35),"")</f>
        <v>#VALUE!</v>
      </c>
      <c r="L35" t="e">
        <f>IF(I35="No",CAL_EF(A35,D35,E35,F35,$A$2:$A$251,$C$2:$C$251,$K$2:$K$251,$L$2:$L$251,I35,$AA$2,P35),"")</f>
        <v>#VALUE!</v>
      </c>
      <c r="M35" t="e">
        <f>IF(I35="No",CAL_LS(A35,G35,$A$2:$N$251,I35,$AA$2),"")</f>
        <v>#VALUE!</v>
      </c>
      <c r="N35" t="e">
        <f>IF(I35="No",CAL_LF(A35,G35,$A$2:$N$251,I35,$W$6,$AA$2),"")</f>
        <v>#VALUE!</v>
      </c>
      <c r="O35" t="e">
        <f>IF(I35="No",CAL_TF(K35,L35,N35,C35,$AA$2),"0")</f>
        <v>#VALUE!</v>
      </c>
      <c r="P35" s="33">
        <v>0</v>
      </c>
    </row>
    <row r="36" spans="1:16" x14ac:dyDescent="0.2">
      <c r="A36" s="8" t="s">
        <v>213</v>
      </c>
      <c r="B36" s="8" t="s">
        <v>1125</v>
      </c>
      <c r="C36" s="6" t="s">
        <v>1033</v>
      </c>
      <c r="D36" s="8"/>
      <c r="F36">
        <v>0</v>
      </c>
      <c r="G36" t="str">
        <f t="shared" si="0"/>
        <v/>
      </c>
      <c r="H36" s="8"/>
      <c r="I36" s="8" t="s">
        <v>47</v>
      </c>
      <c r="J36" s="6"/>
      <c r="K36" t="str">
        <f>IF(I36="No",CAL_ES(A36,D36,E36,F36,$A$2:$A$251,$C$2:$C$251,$K$2:$K$251,$L$2:$L$251,I36,$V$6,$AA$2,P36),"")</f>
        <v/>
      </c>
      <c r="L36" t="str">
        <f>IF(I36="No",CAL_EF(A36,D36,E36,F36,$A$2:$A$251,$C$2:$C$251,$K$2:$K$251,$L$2:$L$251,I36,$AA$2,P36),"")</f>
        <v/>
      </c>
      <c r="M36" t="str">
        <f>IF(I36="No",CAL_LS(A36,G36,$A$2:$N$251,I36,$AA$2),"")</f>
        <v/>
      </c>
      <c r="N36" t="str">
        <f>IF(I36="No",CAL_LF(A36,G36,$A$2:$N$251,I36,$W$6,$AA$2),"")</f>
        <v/>
      </c>
      <c r="O36" t="str">
        <f>IF(I36="No",CAL_TF(K36,L36,N36,C36,$AA$2),"0")</f>
        <v>0</v>
      </c>
      <c r="P36" s="33">
        <v>0</v>
      </c>
    </row>
    <row r="37" spans="1:16" x14ac:dyDescent="0.2">
      <c r="A37" s="8" t="s">
        <v>219</v>
      </c>
      <c r="B37" s="8" t="s">
        <v>1127</v>
      </c>
      <c r="C37">
        <f>IF(ISERROR(Resource_Table!C37/(Resource_Table!E37*J37)),0,ROUNDUP(Resource_Table!C37/(Resource_Table!E37*J37),0))</f>
        <v>30</v>
      </c>
      <c r="D37" s="8"/>
      <c r="F37">
        <v>0</v>
      </c>
      <c r="G37" t="str">
        <f t="shared" si="0"/>
        <v>39FS+45 days,40FS+45 days,51,63SS+14 days,80,109,140,180FS+14 days,186FS+14 days,198FS+14 days,199FS+14 days,200FS+14 days,238FS+14 days</v>
      </c>
      <c r="H37" s="8" t="s">
        <v>1129</v>
      </c>
      <c r="I37" s="8" t="s">
        <v>72</v>
      </c>
      <c r="J37">
        <f>CAL_RESOURCE(Resource_Table!F37,PDM!S9)</f>
        <v>12</v>
      </c>
      <c r="K37" t="e">
        <f>IF(I37="No",CAL_ES(A37,D37,E37,F37,$A$2:$A$251,$C$2:$C$251,$K$2:$K$251,$L$2:$L$251,I37,$V$6,$AA$2,P37),"")</f>
        <v>#VALUE!</v>
      </c>
      <c r="L37" t="e">
        <f>IF(I37="No",CAL_EF(A37,D37,E37,F37,$A$2:$A$251,$C$2:$C$251,$K$2:$K$251,$L$2:$L$251,I37,$AA$2,P37),"")</f>
        <v>#VALUE!</v>
      </c>
      <c r="M37" t="e">
        <f>IF(I37="No",CAL_LS(A37,G37,$A$2:$N$251,I37,$AA$2),"")</f>
        <v>#VALUE!</v>
      </c>
      <c r="N37" t="e">
        <f>IF(I37="No",CAL_LF(A37,G37,$A$2:$N$251,I37,$W$6,$AA$2),"")</f>
        <v>#VALUE!</v>
      </c>
      <c r="O37" t="e">
        <f>IF(I37="No",CAL_TF(K37,L37,N37,C37,$AA$2),"0")</f>
        <v>#VALUE!</v>
      </c>
      <c r="P37" s="33">
        <v>0</v>
      </c>
    </row>
    <row r="38" spans="1:16" x14ac:dyDescent="0.2">
      <c r="A38" s="8" t="s">
        <v>222</v>
      </c>
      <c r="B38" s="8" t="s">
        <v>1130</v>
      </c>
      <c r="C38" s="6" t="s">
        <v>1033</v>
      </c>
      <c r="D38" s="8"/>
      <c r="F38">
        <v>0</v>
      </c>
      <c r="G38" t="str">
        <f t="shared" si="0"/>
        <v/>
      </c>
      <c r="H38" s="8"/>
      <c r="I38" s="8" t="s">
        <v>47</v>
      </c>
      <c r="J38" s="6"/>
      <c r="K38" t="str">
        <f>IF(I38="No",CAL_ES(A38,D38,E38,F38,$A$2:$A$251,$C$2:$C$251,$K$2:$K$251,$L$2:$L$251,I38,$V$6,$AA$2,P38),"")</f>
        <v/>
      </c>
      <c r="L38" t="str">
        <f>IF(I38="No",CAL_EF(A38,D38,E38,F38,$A$2:$A$251,$C$2:$C$251,$K$2:$K$251,$L$2:$L$251,I38,$AA$2,P38),"")</f>
        <v/>
      </c>
      <c r="M38" t="str">
        <f>IF(I38="No",CAL_LS(A38,G38,$A$2:$N$251,I38,$AA$2),"")</f>
        <v/>
      </c>
      <c r="N38" t="str">
        <f>IF(I38="No",CAL_LF(A38,G38,$A$2:$N$251,I38,$W$6,$AA$2),"")</f>
        <v/>
      </c>
      <c r="O38" t="str">
        <f>IF(I38="No",CAL_TF(K38,L38,N38,C38,$AA$2),"0")</f>
        <v>0</v>
      </c>
      <c r="P38" s="33">
        <v>0</v>
      </c>
    </row>
    <row r="39" spans="1:16" x14ac:dyDescent="0.2">
      <c r="A39" s="8" t="s">
        <v>229</v>
      </c>
      <c r="B39" s="8" t="s">
        <v>1132</v>
      </c>
      <c r="C39">
        <f>IF(ISERROR(Resource_Table!C39/(Resource_Table!E39*J39)),0,ROUNDUP(Resource_Table!C39/(Resource_Table!E39*J39),0))</f>
        <v>30</v>
      </c>
      <c r="D39" s="8" t="s">
        <v>232</v>
      </c>
      <c r="F39">
        <v>0</v>
      </c>
      <c r="G39" t="str">
        <f t="shared" si="0"/>
        <v/>
      </c>
      <c r="H39" s="8" t="s">
        <v>1134</v>
      </c>
      <c r="I39" s="8" t="s">
        <v>72</v>
      </c>
      <c r="J39">
        <f>CAL_RESOURCE(Resource_Table!F39,PDM!S10)</f>
        <v>3</v>
      </c>
      <c r="K39" t="e">
        <f>IF(I39="No",CAL_ES(A39,D39,E39,F39,$A$2:$A$251,$C$2:$C$251,$K$2:$K$251,$L$2:$L$251,I39,$V$6,$AA$2,P39),"")</f>
        <v>#VALUE!</v>
      </c>
      <c r="L39" t="e">
        <f>IF(I39="No",CAL_EF(A39,D39,E39,F39,$A$2:$A$251,$C$2:$C$251,$K$2:$K$251,$L$2:$L$251,I39,$AA$2,P39),"")</f>
        <v>#VALUE!</v>
      </c>
      <c r="M39" t="e">
        <f>IF(I39="No",CAL_LS(A39,G39,$A$2:$N$251,I39,$AA$2),"")</f>
        <v>#VALUE!</v>
      </c>
      <c r="N39" t="e">
        <f>IF(I39="No",CAL_LF(A39,G39,$A$2:$N$251,I39,$W$6,$AA$2),"")</f>
        <v>#VALUE!</v>
      </c>
      <c r="O39" t="e">
        <f>IF(I39="No",CAL_TF(K39,L39,N39,C39,$AA$2),"0")</f>
        <v>#VALUE!</v>
      </c>
      <c r="P39" s="33">
        <v>0</v>
      </c>
    </row>
    <row r="40" spans="1:16" x14ac:dyDescent="0.2">
      <c r="A40" s="8" t="s">
        <v>237</v>
      </c>
      <c r="B40" s="8" t="s">
        <v>1135</v>
      </c>
      <c r="C40">
        <f>IF(ISERROR(Resource_Table!C40/(Resource_Table!E40*J40)),0,ROUNDUP(Resource_Table!C40/(Resource_Table!E40*J40),0))</f>
        <v>60</v>
      </c>
      <c r="D40" s="8" t="s">
        <v>1136</v>
      </c>
      <c r="F40">
        <v>0</v>
      </c>
      <c r="G40" t="str">
        <f t="shared" si="0"/>
        <v>38,43</v>
      </c>
      <c r="H40" s="8" t="s">
        <v>1129</v>
      </c>
      <c r="I40" s="8" t="s">
        <v>72</v>
      </c>
      <c r="J40">
        <f>CAL_RESOURCE(Resource_Table!F40,PDM!S9)</f>
        <v>2</v>
      </c>
      <c r="K40" t="e">
        <f>IF(I40="No",CAL_ES(A40,D40,E40,F40,$A$2:$A$251,$C$2:$C$251,$K$2:$K$251,$L$2:$L$251,I40,$V$6,$AA$2,P40),"")</f>
        <v>#VALUE!</v>
      </c>
      <c r="L40" t="e">
        <f>IF(I40="No",CAL_EF(A40,D40,E40,F40,$A$2:$A$251,$C$2:$C$251,$K$2:$K$251,$L$2:$L$251,I40,$AA$2,P40),"")</f>
        <v>#VALUE!</v>
      </c>
      <c r="M40" t="e">
        <f>IF(I40="No",CAL_LS(A40,G40,$A$2:$N$251,I40,$AA$2),"")</f>
        <v>#VALUE!</v>
      </c>
      <c r="N40" t="e">
        <f>IF(I40="No",CAL_LF(A40,G40,$A$2:$N$251,I40,$W$6,$AA$2),"")</f>
        <v>#VALUE!</v>
      </c>
      <c r="O40" t="e">
        <f>IF(I40="No",CAL_TF(K40,L40,N40,C40,$AA$2),"0")</f>
        <v>#VALUE!</v>
      </c>
      <c r="P40" s="33">
        <v>0</v>
      </c>
    </row>
    <row r="41" spans="1:16" x14ac:dyDescent="0.2">
      <c r="A41" s="8" t="s">
        <v>246</v>
      </c>
      <c r="B41" s="8" t="s">
        <v>1137</v>
      </c>
      <c r="C41">
        <f>IF(ISERROR(Resource_Table!C41/(Resource_Table!E41*J41)),0,ROUNDUP(Resource_Table!C41/(Resource_Table!E41*J41),0))</f>
        <v>30</v>
      </c>
      <c r="D41" s="8" t="s">
        <v>1136</v>
      </c>
      <c r="F41">
        <v>0</v>
      </c>
      <c r="G41" t="str">
        <f t="shared" si="0"/>
        <v>41,42</v>
      </c>
      <c r="H41" s="8" t="s">
        <v>1129</v>
      </c>
      <c r="I41" s="8" t="s">
        <v>72</v>
      </c>
      <c r="J41">
        <f>CAL_RESOURCE(Resource_Table!F41,PDM!S9)</f>
        <v>2</v>
      </c>
      <c r="K41" t="e">
        <f>IF(I41="No",CAL_ES(A41,D41,E41,F41,$A$2:$A$251,$C$2:$C$251,$K$2:$K$251,$L$2:$L$251,I41,$V$6,$AA$2,P41),"")</f>
        <v>#VALUE!</v>
      </c>
      <c r="L41" t="e">
        <f>IF(I41="No",CAL_EF(A41,D41,E41,F41,$A$2:$A$251,$C$2:$C$251,$K$2:$K$251,$L$2:$L$251,I41,$AA$2,P41),"")</f>
        <v>#VALUE!</v>
      </c>
      <c r="M41" t="e">
        <f>IF(I41="No",CAL_LS(A41,G41,$A$2:$N$251,I41,$AA$2),"")</f>
        <v>#VALUE!</v>
      </c>
      <c r="N41" t="e">
        <f>IF(I41="No",CAL_LF(A41,G41,$A$2:$N$251,I41,$W$6,$AA$2),"")</f>
        <v>#VALUE!</v>
      </c>
      <c r="O41" t="e">
        <f>IF(I41="No",CAL_TF(K41,L41,N41,C41,$AA$2),"0")</f>
        <v>#VALUE!</v>
      </c>
      <c r="P41" s="33">
        <v>0</v>
      </c>
    </row>
    <row r="42" spans="1:16" x14ac:dyDescent="0.2">
      <c r="A42" s="8" t="s">
        <v>251</v>
      </c>
      <c r="B42" s="8" t="s">
        <v>1138</v>
      </c>
      <c r="C42">
        <f>IF(ISERROR(Resource_Table!C42/(Resource_Table!E42*J42)),0,ROUNDUP(Resource_Table!C42/(Resource_Table!E42*J42),0))</f>
        <v>30</v>
      </c>
      <c r="D42" s="8" t="s">
        <v>246</v>
      </c>
      <c r="F42">
        <v>0</v>
      </c>
      <c r="G42" t="str">
        <f t="shared" si="0"/>
        <v>38,43</v>
      </c>
      <c r="H42" s="8" t="s">
        <v>1134</v>
      </c>
      <c r="I42" s="8" t="s">
        <v>72</v>
      </c>
      <c r="J42">
        <f>CAL_RESOURCE(Resource_Table!F42,PDM!S10)</f>
        <v>1</v>
      </c>
      <c r="K42" t="e">
        <f>IF(I42="No",CAL_ES(A42,D42,E42,F42,$A$2:$A$251,$C$2:$C$251,$K$2:$K$251,$L$2:$L$251,I42,$V$6,$AA$2,P42),"")</f>
        <v>#VALUE!</v>
      </c>
      <c r="L42" t="e">
        <f>IF(I42="No",CAL_EF(A42,D42,E42,F42,$A$2:$A$251,$C$2:$C$251,$K$2:$K$251,$L$2:$L$251,I42,$AA$2,P42),"")</f>
        <v>#VALUE!</v>
      </c>
      <c r="M42" t="e">
        <f>IF(I42="No",CAL_LS(A42,G42,$A$2:$N$251,I42,$AA$2),"")</f>
        <v>#VALUE!</v>
      </c>
      <c r="N42" t="e">
        <f>IF(I42="No",CAL_LF(A42,G42,$A$2:$N$251,I42,$W$6,$AA$2),"")</f>
        <v>#VALUE!</v>
      </c>
      <c r="O42" t="e">
        <f>IF(I42="No",CAL_TF(K42,L42,N42,C42,$AA$2),"0")</f>
        <v>#VALUE!</v>
      </c>
      <c r="P42" s="33">
        <v>0</v>
      </c>
    </row>
    <row r="43" spans="1:16" x14ac:dyDescent="0.2">
      <c r="A43" s="8" t="s">
        <v>256</v>
      </c>
      <c r="B43" s="8" t="s">
        <v>1139</v>
      </c>
      <c r="C43">
        <f>IF(ISERROR(Resource_Table!C43/(Resource_Table!E43*J43)),0,ROUNDUP(Resource_Table!C43/(Resource_Table!E43*J43),0))</f>
        <v>30</v>
      </c>
      <c r="D43" s="8" t="s">
        <v>246</v>
      </c>
      <c r="F43">
        <v>0</v>
      </c>
      <c r="G43" t="str">
        <f t="shared" si="0"/>
        <v>38,43</v>
      </c>
      <c r="H43" s="8" t="s">
        <v>1129</v>
      </c>
      <c r="I43" s="8" t="s">
        <v>72</v>
      </c>
      <c r="J43">
        <f>CAL_RESOURCE(Resource_Table!F43,PDM!S9)</f>
        <v>1</v>
      </c>
      <c r="K43" t="e">
        <f>IF(I43="No",CAL_ES(A43,D43,E43,F43,$A$2:$A$251,$C$2:$C$251,$K$2:$K$251,$L$2:$L$251,I43,$V$6,$AA$2,P43),"")</f>
        <v>#VALUE!</v>
      </c>
      <c r="L43" t="e">
        <f>IF(I43="No",CAL_EF(A43,D43,E43,F43,$A$2:$A$251,$C$2:$C$251,$K$2:$K$251,$L$2:$L$251,I43,$AA$2,P43),"")</f>
        <v>#VALUE!</v>
      </c>
      <c r="M43" t="e">
        <f>IF(I43="No",CAL_LS(A43,G43,$A$2:$N$251,I43,$AA$2),"")</f>
        <v>#VALUE!</v>
      </c>
      <c r="N43" t="e">
        <f>IF(I43="No",CAL_LF(A43,G43,$A$2:$N$251,I43,$W$6,$AA$2),"")</f>
        <v>#VALUE!</v>
      </c>
      <c r="O43" t="e">
        <f>IF(I43="No",CAL_TF(K43,L43,N43,C43,$AA$2),"0")</f>
        <v>#VALUE!</v>
      </c>
      <c r="P43" s="33">
        <v>0</v>
      </c>
    </row>
    <row r="44" spans="1:16" x14ac:dyDescent="0.2">
      <c r="A44" s="8" t="s">
        <v>259</v>
      </c>
      <c r="B44" s="8" t="s">
        <v>1140</v>
      </c>
      <c r="C44">
        <f>IF(ISERROR(Resource_Table!C44/(Resource_Table!E44*J44)),0,ROUNDUP(Resource_Table!C44/(Resource_Table!E44*J44),0))</f>
        <v>30</v>
      </c>
      <c r="D44" s="8" t="s">
        <v>232</v>
      </c>
      <c r="F44">
        <v>0</v>
      </c>
      <c r="G44" t="str">
        <f t="shared" si="0"/>
        <v/>
      </c>
      <c r="H44" s="8" t="s">
        <v>1129</v>
      </c>
      <c r="I44" s="8" t="s">
        <v>72</v>
      </c>
      <c r="J44">
        <f>CAL_RESOURCE(Resource_Table!F44,PDM!S9)</f>
        <v>3</v>
      </c>
      <c r="K44" t="e">
        <f>IF(I44="No",CAL_ES(A44,D44,E44,F44,$A$2:$A$251,$C$2:$C$251,$K$2:$K$251,$L$2:$L$251,I44,$V$6,$AA$2,P44),"")</f>
        <v>#VALUE!</v>
      </c>
      <c r="L44" t="e">
        <f>IF(I44="No",CAL_EF(A44,D44,E44,F44,$A$2:$A$251,$C$2:$C$251,$K$2:$K$251,$L$2:$L$251,I44,$AA$2,P44),"")</f>
        <v>#VALUE!</v>
      </c>
      <c r="M44" t="e">
        <f>IF(I44="No",CAL_LS(A44,G44,$A$2:$N$251,I44,$AA$2),"")</f>
        <v>#VALUE!</v>
      </c>
      <c r="N44" t="e">
        <f>IF(I44="No",CAL_LF(A44,G44,$A$2:$N$251,I44,$W$6,$AA$2),"")</f>
        <v>#VALUE!</v>
      </c>
      <c r="O44" t="e">
        <f>IF(I44="No",CAL_TF(K44,L44,N44,C44,$AA$2),"0")</f>
        <v>#VALUE!</v>
      </c>
      <c r="P44" s="33">
        <v>0</v>
      </c>
    </row>
    <row r="45" spans="1:16" x14ac:dyDescent="0.2">
      <c r="A45" s="8" t="s">
        <v>262</v>
      </c>
      <c r="B45" s="8" t="s">
        <v>1141</v>
      </c>
      <c r="C45" s="6" t="s">
        <v>1033</v>
      </c>
      <c r="D45" s="8"/>
      <c r="F45">
        <v>0</v>
      </c>
      <c r="G45" t="str">
        <f t="shared" si="0"/>
        <v/>
      </c>
      <c r="H45" s="8"/>
      <c r="I45" s="8" t="s">
        <v>47</v>
      </c>
      <c r="J45" s="6"/>
      <c r="K45" t="str">
        <f>IF(I45="No",CAL_ES(A45,D45,E45,F45,$A$2:$A$251,$C$2:$C$251,$K$2:$K$251,$L$2:$L$251,I45,$V$6,$AA$2,P45),"")</f>
        <v/>
      </c>
      <c r="L45" t="str">
        <f>IF(I45="No",CAL_EF(A45,D45,E45,F45,$A$2:$A$251,$C$2:$C$251,$K$2:$K$251,$L$2:$L$251,I45,$AA$2,P45),"")</f>
        <v/>
      </c>
      <c r="M45" t="str">
        <f>IF(I45="No",CAL_LS(A45,G45,$A$2:$N$251,I45,$AA$2),"")</f>
        <v/>
      </c>
      <c r="N45" t="str">
        <f>IF(I45="No",CAL_LF(A45,G45,$A$2:$N$251,I45,$W$6,$AA$2),"")</f>
        <v/>
      </c>
      <c r="O45" t="str">
        <f>IF(I45="No",CAL_TF(K45,L45,N45,C45,$AA$2),"0")</f>
        <v>0</v>
      </c>
      <c r="P45" s="33">
        <v>0</v>
      </c>
    </row>
    <row r="46" spans="1:16" x14ac:dyDescent="0.2">
      <c r="A46" s="8" t="s">
        <v>268</v>
      </c>
      <c r="B46" s="8" t="s">
        <v>1142</v>
      </c>
      <c r="C46">
        <f>IF(ISERROR(Resource_Table!C46/(Resource_Table!E46*J46)),0,ROUNDUP(Resource_Table!C46/(Resource_Table!E46*J46),0))</f>
        <v>15</v>
      </c>
      <c r="D46" s="8" t="s">
        <v>1143</v>
      </c>
      <c r="F46">
        <v>0</v>
      </c>
      <c r="G46" t="str">
        <f t="shared" si="0"/>
        <v>47FS+135 days</v>
      </c>
      <c r="H46" s="8" t="s">
        <v>1145</v>
      </c>
      <c r="I46" s="8" t="s">
        <v>72</v>
      </c>
      <c r="J46">
        <f>CAL_RESOURCE(Resource_Table!F46,PDM!S11)</f>
        <v>2</v>
      </c>
      <c r="K46" t="e">
        <f>IF(I46="No",CAL_ES(A46,D46,E46,F46,$A$2:$A$251,$C$2:$C$251,$K$2:$K$251,$L$2:$L$251,I46,$V$6,$AA$2,P46),"")</f>
        <v>#VALUE!</v>
      </c>
      <c r="L46" t="e">
        <f>IF(I46="No",CAL_EF(A46,D46,E46,F46,$A$2:$A$251,$C$2:$C$251,$K$2:$K$251,$L$2:$L$251,I46,$AA$2,P46),"")</f>
        <v>#VALUE!</v>
      </c>
      <c r="M46" t="e">
        <f>IF(I46="No",CAL_LS(A46,G46,$A$2:$N$251,I46,$AA$2),"")</f>
        <v>#VALUE!</v>
      </c>
      <c r="N46" t="e">
        <f>IF(I46="No",CAL_LF(A46,G46,$A$2:$N$251,I46,$W$6,$AA$2),"")</f>
        <v>#VALUE!</v>
      </c>
      <c r="O46" t="e">
        <f>IF(I46="No",CAL_TF(K46,L46,N46,C46,$AA$2),"0")</f>
        <v>#VALUE!</v>
      </c>
      <c r="P46" s="33">
        <v>0</v>
      </c>
    </row>
    <row r="47" spans="1:16" x14ac:dyDescent="0.2">
      <c r="A47" s="8" t="s">
        <v>276</v>
      </c>
      <c r="B47" s="8" t="s">
        <v>1146</v>
      </c>
      <c r="C47">
        <f>IF(ISERROR(Resource_Table!C47/(Resource_Table!E47*J47)),0,ROUNDUP(Resource_Table!C47/(Resource_Table!E47*J47),0))</f>
        <v>15</v>
      </c>
      <c r="D47" s="8" t="s">
        <v>278</v>
      </c>
      <c r="F47">
        <v>0</v>
      </c>
      <c r="G47" t="str">
        <f t="shared" si="0"/>
        <v>45FS+135 days</v>
      </c>
      <c r="H47" s="8" t="s">
        <v>1145</v>
      </c>
      <c r="I47" s="8" t="s">
        <v>72</v>
      </c>
      <c r="J47">
        <f>CAL_RESOURCE(Resource_Table!F47,PDM!S11)</f>
        <v>2</v>
      </c>
      <c r="K47" t="e">
        <f>IF(I47="No",CAL_ES(A47,D47,E47,F47,$A$2:$A$251,$C$2:$C$251,$K$2:$K$251,$L$2:$L$251,I47,$V$6,$AA$2,P47),"")</f>
        <v>#VALUE!</v>
      </c>
      <c r="L47" t="e">
        <f>IF(I47="No",CAL_EF(A47,D47,E47,F47,$A$2:$A$251,$C$2:$C$251,$K$2:$K$251,$L$2:$L$251,I47,$AA$2,P47),"")</f>
        <v>#VALUE!</v>
      </c>
      <c r="M47" t="e">
        <f>IF(I47="No",CAL_LS(A47,G47,$A$2:$N$251,I47,$AA$2),"")</f>
        <v>#VALUE!</v>
      </c>
      <c r="N47" t="e">
        <f>IF(I47="No",CAL_LF(A47,G47,$A$2:$N$251,I47,$W$6,$AA$2),"")</f>
        <v>#VALUE!</v>
      </c>
      <c r="O47" t="e">
        <f>IF(I47="No",CAL_TF(K47,L47,N47,C47,$AA$2),"0")</f>
        <v>#VALUE!</v>
      </c>
      <c r="P47" s="33">
        <v>0</v>
      </c>
    </row>
    <row r="48" spans="1:16" x14ac:dyDescent="0.2">
      <c r="A48" s="8" t="s">
        <v>282</v>
      </c>
      <c r="B48" s="8" t="s">
        <v>1148</v>
      </c>
      <c r="C48">
        <f>IF(ISERROR(Resource_Table!C48/(Resource_Table!E48*J48)),0,ROUNDUP(Resource_Table!C48/(Resource_Table!E48*J48),0))</f>
        <v>15</v>
      </c>
      <c r="D48" s="8" t="s">
        <v>1147</v>
      </c>
      <c r="F48">
        <v>0</v>
      </c>
      <c r="G48" t="str">
        <f t="shared" si="0"/>
        <v/>
      </c>
      <c r="H48" s="8" t="s">
        <v>1145</v>
      </c>
      <c r="I48" s="8" t="s">
        <v>72</v>
      </c>
      <c r="J48">
        <f>CAL_RESOURCE(Resource_Table!F48,PDM!S11)</f>
        <v>2</v>
      </c>
      <c r="K48" t="e">
        <f>IF(I48="No",CAL_ES(A48,D48,E48,F48,$A$2:$A$251,$C$2:$C$251,$K$2:$K$251,$L$2:$L$251,I48,$V$6,$AA$2,P48),"")</f>
        <v>#VALUE!</v>
      </c>
      <c r="L48" t="e">
        <f>IF(I48="No",CAL_EF(A48,D48,E48,F48,$A$2:$A$251,$C$2:$C$251,$K$2:$K$251,$L$2:$L$251,I48,$AA$2,P48),"")</f>
        <v>#VALUE!</v>
      </c>
      <c r="M48" t="e">
        <f>IF(I48="No",CAL_LS(A48,G48,$A$2:$N$251,I48,$AA$2),"")</f>
        <v>#VALUE!</v>
      </c>
      <c r="N48" t="e">
        <f>IF(I48="No",CAL_LF(A48,G48,$A$2:$N$251,I48,$W$6,$AA$2),"")</f>
        <v>#VALUE!</v>
      </c>
      <c r="O48" t="e">
        <f>IF(I48="No",CAL_TF(K48,L48,N48,C48,$AA$2),"0")</f>
        <v>#VALUE!</v>
      </c>
      <c r="P48" s="33">
        <v>0</v>
      </c>
    </row>
    <row r="49" spans="1:16" x14ac:dyDescent="0.2">
      <c r="A49" s="8" t="s">
        <v>286</v>
      </c>
      <c r="B49" s="8" t="s">
        <v>1149</v>
      </c>
      <c r="C49" s="6" t="s">
        <v>1033</v>
      </c>
      <c r="D49" s="8"/>
      <c r="F49">
        <v>0</v>
      </c>
      <c r="G49" t="str">
        <f t="shared" si="0"/>
        <v/>
      </c>
      <c r="H49" s="8"/>
      <c r="I49" s="8" t="s">
        <v>47</v>
      </c>
      <c r="J49" s="6"/>
      <c r="K49" t="str">
        <f>IF(I49="No",CAL_ES(A49,D49,E49,F49,$A$2:$A$251,$C$2:$C$251,$K$2:$K$251,$L$2:$L$251,I49,$V$6,$AA$2,P49),"")</f>
        <v/>
      </c>
      <c r="L49" t="str">
        <f>IF(I49="No",CAL_EF(A49,D49,E49,F49,$A$2:$A$251,$C$2:$C$251,$K$2:$K$251,$L$2:$L$251,I49,$AA$2,P49),"")</f>
        <v/>
      </c>
      <c r="M49" t="str">
        <f>IF(I49="No",CAL_LS(A49,G49,$A$2:$N$251,I49,$AA$2),"")</f>
        <v/>
      </c>
      <c r="N49" t="str">
        <f>IF(I49="No",CAL_LF(A49,G49,$A$2:$N$251,I49,$W$6,$AA$2),"")</f>
        <v/>
      </c>
      <c r="O49" t="str">
        <f>IF(I49="No",CAL_TF(K49,L49,N49,C49,$AA$2),"0")</f>
        <v>0</v>
      </c>
      <c r="P49" s="33">
        <v>0</v>
      </c>
    </row>
    <row r="50" spans="1:16" x14ac:dyDescent="0.2">
      <c r="A50" s="8" t="s">
        <v>295</v>
      </c>
      <c r="B50" s="8" t="s">
        <v>1151</v>
      </c>
      <c r="C50" s="6" t="s">
        <v>1033</v>
      </c>
      <c r="D50" s="8"/>
      <c r="F50">
        <v>0</v>
      </c>
      <c r="G50" t="str">
        <f t="shared" si="0"/>
        <v/>
      </c>
      <c r="H50" s="8"/>
      <c r="I50" s="8" t="s">
        <v>47</v>
      </c>
      <c r="J50" s="6"/>
      <c r="K50" t="str">
        <f>IF(I50="No",CAL_ES(A50,D50,E50,F50,$A$2:$A$251,$C$2:$C$251,$K$2:$K$251,$L$2:$L$251,I50,$V$6,$AA$2,P50),"")</f>
        <v/>
      </c>
      <c r="L50" t="str">
        <f>IF(I50="No",CAL_EF(A50,D50,E50,F50,$A$2:$A$251,$C$2:$C$251,$K$2:$K$251,$L$2:$L$251,I50,$AA$2,P50),"")</f>
        <v/>
      </c>
      <c r="M50" t="str">
        <f>IF(I50="No",CAL_LS(A50,G50,$A$2:$N$251,I50,$AA$2),"")</f>
        <v/>
      </c>
      <c r="N50" t="str">
        <f>IF(I50="No",CAL_LF(A50,G50,$A$2:$N$251,I50,$W$6,$AA$2),"")</f>
        <v/>
      </c>
      <c r="O50" t="str">
        <f>IF(I50="No",CAL_TF(K50,L50,N50,C50,$AA$2),"0")</f>
        <v>0</v>
      </c>
      <c r="P50" s="33">
        <v>0</v>
      </c>
    </row>
    <row r="51" spans="1:16" x14ac:dyDescent="0.2">
      <c r="A51" s="8" t="s">
        <v>298</v>
      </c>
      <c r="B51" s="8" t="s">
        <v>1142</v>
      </c>
      <c r="C51">
        <f>IF(ISERROR(Resource_Table!C51/(Resource_Table!E51*J51)),0,ROUNDUP(Resource_Table!C51/(Resource_Table!E51*J51),0))</f>
        <v>126</v>
      </c>
      <c r="D51" s="8" t="s">
        <v>1152</v>
      </c>
      <c r="F51">
        <v>0</v>
      </c>
      <c r="G51" t="str">
        <f t="shared" si="0"/>
        <v>52FS+15 days</v>
      </c>
      <c r="H51" s="8" t="s">
        <v>1145</v>
      </c>
      <c r="I51" s="8" t="s">
        <v>72</v>
      </c>
      <c r="J51">
        <f>CAL_RESOURCE(Resource_Table!F51,PDM!S11)</f>
        <v>1</v>
      </c>
      <c r="K51" t="e">
        <f>IF(I51="No",CAL_ES(A51,D51,E51,F51,$A$2:$A$251,$C$2:$C$251,$K$2:$K$251,$L$2:$L$251,I51,$V$6,$AA$2,P51),"")</f>
        <v>#VALUE!</v>
      </c>
      <c r="L51" t="e">
        <f>IF(I51="No",CAL_EF(A51,D51,E51,F51,$A$2:$A$251,$C$2:$C$251,$K$2:$K$251,$L$2:$L$251,I51,$AA$2,P51),"")</f>
        <v>#VALUE!</v>
      </c>
      <c r="M51" t="e">
        <f>IF(I51="No",CAL_LS(A51,G51,$A$2:$N$251,I51,$AA$2),"")</f>
        <v>#VALUE!</v>
      </c>
      <c r="N51" t="e">
        <f>IF(I51="No",CAL_LF(A51,G51,$A$2:$N$251,I51,$W$6,$AA$2),"")</f>
        <v>#VALUE!</v>
      </c>
      <c r="O51" t="e">
        <f>IF(I51="No",CAL_TF(K51,L51,N51,C51,$AA$2),"0")</f>
        <v>#VALUE!</v>
      </c>
      <c r="P51" s="33">
        <v>0</v>
      </c>
    </row>
    <row r="52" spans="1:16" x14ac:dyDescent="0.2">
      <c r="A52" s="8" t="s">
        <v>307</v>
      </c>
      <c r="B52" s="8" t="s">
        <v>1146</v>
      </c>
      <c r="C52">
        <f>IF(ISERROR(Resource_Table!C52/(Resource_Table!E52*J52)),0,ROUNDUP(Resource_Table!C52/(Resource_Table!E52*J52),0))</f>
        <v>126</v>
      </c>
      <c r="D52" s="8" t="s">
        <v>219</v>
      </c>
      <c r="F52">
        <v>0</v>
      </c>
      <c r="G52" t="str">
        <f t="shared" si="0"/>
        <v>46,50FS+15 days,55SS</v>
      </c>
      <c r="H52" s="8" t="s">
        <v>1145</v>
      </c>
      <c r="I52" s="8" t="s">
        <v>72</v>
      </c>
      <c r="J52">
        <f>CAL_RESOURCE(Resource_Table!F52,PDM!S11)</f>
        <v>1</v>
      </c>
      <c r="K52" t="e">
        <f>IF(I52="No",CAL_ES(A52,D52,E52,F52,$A$2:$A$251,$C$2:$C$251,$K$2:$K$251,$L$2:$L$251,I52,$V$6,$AA$2,P52),"")</f>
        <v>#VALUE!</v>
      </c>
      <c r="L52" t="e">
        <f>IF(I52="No",CAL_EF(A52,D52,E52,F52,$A$2:$A$251,$C$2:$C$251,$K$2:$K$251,$L$2:$L$251,I52,$AA$2,P52),"")</f>
        <v>#VALUE!</v>
      </c>
      <c r="M52" t="e">
        <f>IF(I52="No",CAL_LS(A52,G52,$A$2:$N$251,I52,$AA$2),"")</f>
        <v>#VALUE!</v>
      </c>
      <c r="N52" t="e">
        <f>IF(I52="No",CAL_LF(A52,G52,$A$2:$N$251,I52,$W$6,$AA$2),"")</f>
        <v>#VALUE!</v>
      </c>
      <c r="O52" t="e">
        <f>IF(I52="No",CAL_TF(K52,L52,N52,C52,$AA$2),"0")</f>
        <v>#VALUE!</v>
      </c>
      <c r="P52" s="33">
        <v>0</v>
      </c>
    </row>
    <row r="53" spans="1:16" x14ac:dyDescent="0.2">
      <c r="A53" s="8" t="s">
        <v>312</v>
      </c>
      <c r="B53" s="8" t="s">
        <v>1148</v>
      </c>
      <c r="C53">
        <f>IF(ISERROR(Resource_Table!C53/(Resource_Table!E53*J53)),0,ROUNDUP(Resource_Table!C53/(Resource_Table!E53*J53),0))</f>
        <v>126</v>
      </c>
      <c r="D53" s="8" t="s">
        <v>1155</v>
      </c>
      <c r="F53">
        <v>0</v>
      </c>
      <c r="G53" t="str">
        <f t="shared" si="0"/>
        <v/>
      </c>
      <c r="H53" s="8" t="s">
        <v>1145</v>
      </c>
      <c r="I53" s="8" t="s">
        <v>72</v>
      </c>
      <c r="J53">
        <f>CAL_RESOURCE(Resource_Table!F53,PDM!S11)</f>
        <v>1</v>
      </c>
      <c r="K53" t="e">
        <f>IF(I53="No",CAL_ES(A53,D53,E53,F53,$A$2:$A$251,$C$2:$C$251,$K$2:$K$251,$L$2:$L$251,I53,$V$6,$AA$2,P53),"")</f>
        <v>#VALUE!</v>
      </c>
      <c r="L53" t="e">
        <f>IF(I53="No",CAL_EF(A53,D53,E53,F53,$A$2:$A$251,$C$2:$C$251,$K$2:$K$251,$L$2:$L$251,I53,$AA$2,P53),"")</f>
        <v>#VALUE!</v>
      </c>
      <c r="M53" t="e">
        <f>IF(I53="No",CAL_LS(A53,G53,$A$2:$N$251,I53,$AA$2),"")</f>
        <v>#VALUE!</v>
      </c>
      <c r="N53" t="e">
        <f>IF(I53="No",CAL_LF(A53,G53,$A$2:$N$251,I53,$W$6,$AA$2),"")</f>
        <v>#VALUE!</v>
      </c>
      <c r="O53" t="e">
        <f>IF(I53="No",CAL_TF(K53,L53,N53,C53,$AA$2),"0")</f>
        <v>#VALUE!</v>
      </c>
      <c r="P53" s="33">
        <v>0</v>
      </c>
    </row>
    <row r="54" spans="1:16" x14ac:dyDescent="0.2">
      <c r="A54" s="8" t="s">
        <v>317</v>
      </c>
      <c r="B54" s="8" t="s">
        <v>1156</v>
      </c>
      <c r="C54" s="6" t="s">
        <v>1033</v>
      </c>
      <c r="D54" s="8"/>
      <c r="F54">
        <v>0</v>
      </c>
      <c r="G54" t="str">
        <f t="shared" si="0"/>
        <v/>
      </c>
      <c r="H54" s="8"/>
      <c r="I54" s="8" t="s">
        <v>47</v>
      </c>
      <c r="J54" s="6"/>
      <c r="K54" t="str">
        <f>IF(I54="No",CAL_ES(A54,D54,E54,F54,$A$2:$A$251,$C$2:$C$251,$K$2:$K$251,$L$2:$L$251,I54,$V$6,$AA$2,P54),"")</f>
        <v/>
      </c>
      <c r="L54" t="str">
        <f>IF(I54="No",CAL_EF(A54,D54,E54,F54,$A$2:$A$251,$C$2:$C$251,$K$2:$K$251,$L$2:$L$251,I54,$AA$2,P54),"")</f>
        <v/>
      </c>
      <c r="M54" t="str">
        <f>IF(I54="No",CAL_LS(A54,G54,$A$2:$N$251,I54,$AA$2),"")</f>
        <v/>
      </c>
      <c r="N54" t="str">
        <f>IF(I54="No",CAL_LF(A54,G54,$A$2:$N$251,I54,$W$6,$AA$2),"")</f>
        <v/>
      </c>
      <c r="O54" t="str">
        <f>IF(I54="No",CAL_TF(K54,L54,N54,C54,$AA$2),"0")</f>
        <v>0</v>
      </c>
      <c r="P54" s="33">
        <v>0</v>
      </c>
    </row>
    <row r="55" spans="1:16" x14ac:dyDescent="0.2">
      <c r="A55" s="8" t="s">
        <v>320</v>
      </c>
      <c r="B55" s="8" t="s">
        <v>1142</v>
      </c>
      <c r="C55">
        <f>IF(ISERROR(Resource_Table!C55/(Resource_Table!E55*J55)),0,ROUNDUP(Resource_Table!C55/(Resource_Table!E55*J55),0))</f>
        <v>126</v>
      </c>
      <c r="D55" s="8" t="s">
        <v>1157</v>
      </c>
      <c r="F55">
        <v>0</v>
      </c>
      <c r="G55" t="str">
        <f t="shared" si="0"/>
        <v>56FS+15 days</v>
      </c>
      <c r="H55" s="8" t="s">
        <v>1145</v>
      </c>
      <c r="I55" s="8" t="s">
        <v>72</v>
      </c>
      <c r="J55">
        <f>CAL_RESOURCE(Resource_Table!F55,PDM!S11)</f>
        <v>1</v>
      </c>
      <c r="K55" t="e">
        <f>IF(I55="No",CAL_ES(A55,D55,E55,F55,$A$2:$A$251,$C$2:$C$251,$K$2:$K$251,$L$2:$L$251,I55,$V$6,$AA$2,P55),"")</f>
        <v>#VALUE!</v>
      </c>
      <c r="L55" t="e">
        <f>IF(I55="No",CAL_EF(A55,D55,E55,F55,$A$2:$A$251,$C$2:$C$251,$K$2:$K$251,$L$2:$L$251,I55,$AA$2,P55),"")</f>
        <v>#VALUE!</v>
      </c>
      <c r="M55" t="e">
        <f>IF(I55="No",CAL_LS(A55,G55,$A$2:$N$251,I55,$AA$2),"")</f>
        <v>#VALUE!</v>
      </c>
      <c r="N55" t="e">
        <f>IF(I55="No",CAL_LF(A55,G55,$A$2:$N$251,I55,$W$6,$AA$2),"")</f>
        <v>#VALUE!</v>
      </c>
      <c r="O55" t="e">
        <f>IF(I55="No",CAL_TF(K55,L55,N55,C55,$AA$2),"0")</f>
        <v>#VALUE!</v>
      </c>
      <c r="P55" s="33">
        <v>0</v>
      </c>
    </row>
    <row r="56" spans="1:16" x14ac:dyDescent="0.2">
      <c r="A56" s="8" t="s">
        <v>322</v>
      </c>
      <c r="B56" s="8" t="s">
        <v>1146</v>
      </c>
      <c r="C56">
        <f>IF(ISERROR(Resource_Table!C56/(Resource_Table!E56*J56)),0,ROUNDUP(Resource_Table!C56/(Resource_Table!E56*J56),0))</f>
        <v>126</v>
      </c>
      <c r="D56" s="8" t="s">
        <v>324</v>
      </c>
      <c r="F56">
        <v>0</v>
      </c>
      <c r="G56" t="str">
        <f t="shared" si="0"/>
        <v>46,54FS+15 days</v>
      </c>
      <c r="H56" s="8" t="s">
        <v>1145</v>
      </c>
      <c r="I56" s="8" t="s">
        <v>72</v>
      </c>
      <c r="J56">
        <f>CAL_RESOURCE(Resource_Table!F56,PDM!S11)</f>
        <v>1</v>
      </c>
      <c r="K56" t="e">
        <f>IF(I56="No",CAL_ES(A56,D56,E56,F56,$A$2:$A$251,$C$2:$C$251,$K$2:$K$251,$L$2:$L$251,I56,$V$6,$AA$2,P56),"")</f>
        <v>#VALUE!</v>
      </c>
      <c r="L56" t="e">
        <f>IF(I56="No",CAL_EF(A56,D56,E56,F56,$A$2:$A$251,$C$2:$C$251,$K$2:$K$251,$L$2:$L$251,I56,$AA$2,P56),"")</f>
        <v>#VALUE!</v>
      </c>
      <c r="M56" t="e">
        <f>IF(I56="No",CAL_LS(A56,G56,$A$2:$N$251,I56,$AA$2),"")</f>
        <v>#VALUE!</v>
      </c>
      <c r="N56" t="e">
        <f>IF(I56="No",CAL_LF(A56,G56,$A$2:$N$251,I56,$W$6,$AA$2),"")</f>
        <v>#VALUE!</v>
      </c>
      <c r="O56" t="e">
        <f>IF(I56="No",CAL_TF(K56,L56,N56,C56,$AA$2),"0")</f>
        <v>#VALUE!</v>
      </c>
      <c r="P56" s="33">
        <v>0</v>
      </c>
    </row>
    <row r="57" spans="1:16" x14ac:dyDescent="0.2">
      <c r="A57" s="8" t="s">
        <v>325</v>
      </c>
      <c r="B57" s="8" t="s">
        <v>1148</v>
      </c>
      <c r="C57">
        <f>IF(ISERROR(Resource_Table!C57/(Resource_Table!E57*J57)),0,ROUNDUP(Resource_Table!C57/(Resource_Table!E57*J57),0))</f>
        <v>126</v>
      </c>
      <c r="D57" s="8" t="s">
        <v>1160</v>
      </c>
      <c r="F57">
        <v>0</v>
      </c>
      <c r="G57" t="str">
        <f t="shared" si="0"/>
        <v/>
      </c>
      <c r="H57" s="8" t="s">
        <v>1145</v>
      </c>
      <c r="I57" s="8" t="s">
        <v>72</v>
      </c>
      <c r="J57">
        <f>CAL_RESOURCE(Resource_Table!F57,PDM!S11)</f>
        <v>1</v>
      </c>
      <c r="K57" t="e">
        <f>IF(I57="No",CAL_ES(A57,D57,E57,F57,$A$2:$A$251,$C$2:$C$251,$K$2:$K$251,$L$2:$L$251,I57,$V$6,$AA$2,P57),"")</f>
        <v>#VALUE!</v>
      </c>
      <c r="L57" t="e">
        <f>IF(I57="No",CAL_EF(A57,D57,E57,F57,$A$2:$A$251,$C$2:$C$251,$K$2:$K$251,$L$2:$L$251,I57,$AA$2,P57),"")</f>
        <v>#VALUE!</v>
      </c>
      <c r="M57" t="e">
        <f>IF(I57="No",CAL_LS(A57,G57,$A$2:$N$251,I57,$AA$2),"")</f>
        <v>#VALUE!</v>
      </c>
      <c r="N57" t="e">
        <f>IF(I57="No",CAL_LF(A57,G57,$A$2:$N$251,I57,$W$6,$AA$2),"")</f>
        <v>#VALUE!</v>
      </c>
      <c r="O57" t="e">
        <f>IF(I57="No",CAL_TF(K57,L57,N57,C57,$AA$2),"0")</f>
        <v>#VALUE!</v>
      </c>
      <c r="P57" s="33">
        <v>0</v>
      </c>
    </row>
    <row r="58" spans="1:16" x14ac:dyDescent="0.2">
      <c r="A58" s="8" t="s">
        <v>327</v>
      </c>
      <c r="B58" s="8" t="s">
        <v>1161</v>
      </c>
      <c r="C58" s="6" t="s">
        <v>1033</v>
      </c>
      <c r="D58" s="8"/>
      <c r="F58">
        <v>0</v>
      </c>
      <c r="G58" t="str">
        <f t="shared" si="0"/>
        <v/>
      </c>
      <c r="H58" s="8"/>
      <c r="I58" s="8" t="s">
        <v>47</v>
      </c>
      <c r="J58" s="6"/>
      <c r="K58" t="str">
        <f>IF(I58="No",CAL_ES(A58,D58,E58,F58,$A$2:$A$251,$C$2:$C$251,$K$2:$K$251,$L$2:$L$251,I58,$V$6,$AA$2,P58),"")</f>
        <v/>
      </c>
      <c r="L58" t="str">
        <f>IF(I58="No",CAL_EF(A58,D58,E58,F58,$A$2:$A$251,$C$2:$C$251,$K$2:$K$251,$L$2:$L$251,I58,$AA$2,P58),"")</f>
        <v/>
      </c>
      <c r="M58" t="str">
        <f>IF(I58="No",CAL_LS(A58,G58,$A$2:$N$251,I58,$AA$2),"")</f>
        <v/>
      </c>
      <c r="N58" t="str">
        <f>IF(I58="No",CAL_LF(A58,G58,$A$2:$N$251,I58,$W$6,$AA$2),"")</f>
        <v/>
      </c>
      <c r="O58" t="str">
        <f>IF(I58="No",CAL_TF(K58,L58,N58,C58,$AA$2),"0")</f>
        <v>0</v>
      </c>
      <c r="P58" s="33">
        <v>0</v>
      </c>
    </row>
    <row r="59" spans="1:16" x14ac:dyDescent="0.2">
      <c r="A59" s="8" t="s">
        <v>336</v>
      </c>
      <c r="B59" s="8" t="s">
        <v>1163</v>
      </c>
      <c r="C59">
        <f>IF(ISERROR(Resource_Table!C59/(Resource_Table!E59*J59)),0,ROUNDUP(Resource_Table!C59/(Resource_Table!E59*J59),0))</f>
        <v>30</v>
      </c>
      <c r="D59" s="8" t="s">
        <v>1164</v>
      </c>
      <c r="F59">
        <v>0</v>
      </c>
      <c r="G59" t="str">
        <f t="shared" si="0"/>
        <v/>
      </c>
      <c r="H59" s="8" t="s">
        <v>1165</v>
      </c>
      <c r="I59" s="8" t="s">
        <v>72</v>
      </c>
      <c r="J59">
        <f>CAL_RESOURCE(Resource_Table!F59,PDM!S12)</f>
        <v>4</v>
      </c>
      <c r="K59" t="e">
        <f>IF(I59="No",CAL_ES(A59,D59,E59,F59,$A$2:$A$251,$C$2:$C$251,$K$2:$K$251,$L$2:$L$251,I59,$V$6,$AA$2,P59),"")</f>
        <v>#VALUE!</v>
      </c>
      <c r="L59" t="e">
        <f>IF(I59="No",CAL_EF(A59,D59,E59,F59,$A$2:$A$251,$C$2:$C$251,$K$2:$K$251,$L$2:$L$251,I59,$AA$2,P59),"")</f>
        <v>#VALUE!</v>
      </c>
      <c r="M59" t="e">
        <f>IF(I59="No",CAL_LS(A59,G59,$A$2:$N$251,I59,$AA$2),"")</f>
        <v>#VALUE!</v>
      </c>
      <c r="N59" t="e">
        <f>IF(I59="No",CAL_LF(A59,G59,$A$2:$N$251,I59,$W$6,$AA$2),"")</f>
        <v>#VALUE!</v>
      </c>
      <c r="O59" t="e">
        <f>IF(I59="No",CAL_TF(K59,L59,N59,C59,$AA$2),"0")</f>
        <v>#VALUE!</v>
      </c>
      <c r="P59" s="33">
        <v>0</v>
      </c>
    </row>
    <row r="60" spans="1:16" x14ac:dyDescent="0.2">
      <c r="A60" s="8" t="s">
        <v>341</v>
      </c>
      <c r="B60" s="8" t="s">
        <v>1166</v>
      </c>
      <c r="C60">
        <f>IF(ISERROR(Resource_Table!C60/(Resource_Table!E60*J60)),0,ROUNDUP(Resource_Table!C60/(Resource_Table!E60*J60),0))</f>
        <v>30</v>
      </c>
      <c r="D60" s="8" t="s">
        <v>1164</v>
      </c>
      <c r="F60">
        <v>0</v>
      </c>
      <c r="G60" t="str">
        <f t="shared" si="0"/>
        <v/>
      </c>
      <c r="H60" s="8" t="s">
        <v>1165</v>
      </c>
      <c r="I60" s="8" t="s">
        <v>72</v>
      </c>
      <c r="J60">
        <f>CAL_RESOURCE(Resource_Table!F60,PDM!S12)</f>
        <v>1</v>
      </c>
      <c r="K60" t="e">
        <f>IF(I60="No",CAL_ES(A60,D60,E60,F60,$A$2:$A$251,$C$2:$C$251,$K$2:$K$251,$L$2:$L$251,I60,$V$6,$AA$2,P60),"")</f>
        <v>#VALUE!</v>
      </c>
      <c r="L60" t="e">
        <f>IF(I60="No",CAL_EF(A60,D60,E60,F60,$A$2:$A$251,$C$2:$C$251,$K$2:$K$251,$L$2:$L$251,I60,$AA$2,P60),"")</f>
        <v>#VALUE!</v>
      </c>
      <c r="M60" t="e">
        <f>IF(I60="No",CAL_LS(A60,G60,$A$2:$N$251,I60,$AA$2),"")</f>
        <v>#VALUE!</v>
      </c>
      <c r="N60" t="e">
        <f>IF(I60="No",CAL_LF(A60,G60,$A$2:$N$251,I60,$W$6,$AA$2),"")</f>
        <v>#VALUE!</v>
      </c>
      <c r="O60" t="e">
        <f>IF(I60="No",CAL_TF(K60,L60,N60,C60,$AA$2),"0")</f>
        <v>#VALUE!</v>
      </c>
      <c r="P60" s="33">
        <v>0</v>
      </c>
    </row>
    <row r="61" spans="1:16" x14ac:dyDescent="0.2">
      <c r="A61" s="8" t="s">
        <v>344</v>
      </c>
      <c r="B61" s="8" t="s">
        <v>1167</v>
      </c>
      <c r="C61">
        <f>IF(ISERROR(Resource_Table!C61/(Resource_Table!E61*J61)),0,ROUNDUP(Resource_Table!C61/(Resource_Table!E61*J61),0))</f>
        <v>80</v>
      </c>
      <c r="D61" s="8" t="s">
        <v>1168</v>
      </c>
      <c r="F61">
        <v>0</v>
      </c>
      <c r="G61" t="str">
        <f t="shared" si="0"/>
        <v>58FS+7 days,59FS+7 days</v>
      </c>
      <c r="H61" s="8" t="s">
        <v>1165</v>
      </c>
      <c r="I61" s="8" t="s">
        <v>72</v>
      </c>
      <c r="J61">
        <f>CAL_RESOURCE(Resource_Table!F61,PDM!S12)</f>
        <v>1</v>
      </c>
      <c r="K61" t="e">
        <f>IF(I61="No",CAL_ES(A61,D61,E61,F61,$A$2:$A$251,$C$2:$C$251,$K$2:$K$251,$L$2:$L$251,I61,$V$6,$AA$2,P61),"")</f>
        <v>#VALUE!</v>
      </c>
      <c r="L61" t="e">
        <f>IF(I61="No",CAL_EF(A61,D61,E61,F61,$A$2:$A$251,$C$2:$C$251,$K$2:$K$251,$L$2:$L$251,I61,$AA$2,P61),"")</f>
        <v>#VALUE!</v>
      </c>
      <c r="M61" t="e">
        <f>IF(I61="No",CAL_LS(A61,G61,$A$2:$N$251,I61,$AA$2),"")</f>
        <v>#VALUE!</v>
      </c>
      <c r="N61" t="e">
        <f>IF(I61="No",CAL_LF(A61,G61,$A$2:$N$251,I61,$W$6,$AA$2),"")</f>
        <v>#VALUE!</v>
      </c>
      <c r="O61" t="e">
        <f>IF(I61="No",CAL_TF(K61,L61,N61,C61,$AA$2),"0")</f>
        <v>#VALUE!</v>
      </c>
      <c r="P61" s="33">
        <v>0</v>
      </c>
    </row>
    <row r="62" spans="1:16" x14ac:dyDescent="0.2">
      <c r="A62" s="8" t="s">
        <v>351</v>
      </c>
      <c r="B62" s="8" t="s">
        <v>1170</v>
      </c>
      <c r="C62">
        <f>IF(ISERROR(Resource_Table!C62/(Resource_Table!E62*J62)),0,ROUNDUP(Resource_Table!C62/(Resource_Table!E62*J62),0))</f>
        <v>80</v>
      </c>
      <c r="D62" s="8" t="s">
        <v>1168</v>
      </c>
      <c r="F62">
        <v>0</v>
      </c>
      <c r="G62" t="str">
        <f t="shared" si="0"/>
        <v/>
      </c>
      <c r="H62" s="8" t="s">
        <v>1165</v>
      </c>
      <c r="I62" s="8" t="s">
        <v>72</v>
      </c>
      <c r="J62">
        <f>CAL_RESOURCE(Resource_Table!F62,PDM!S12)</f>
        <v>1</v>
      </c>
      <c r="K62" t="e">
        <f>IF(I62="No",CAL_ES(A62,D62,E62,F62,$A$2:$A$251,$C$2:$C$251,$K$2:$K$251,$L$2:$L$251,I62,$V$6,$AA$2,P62),"")</f>
        <v>#VALUE!</v>
      </c>
      <c r="L62" t="e">
        <f>IF(I62="No",CAL_EF(A62,D62,E62,F62,$A$2:$A$251,$C$2:$C$251,$K$2:$K$251,$L$2:$L$251,I62,$AA$2,P62),"")</f>
        <v>#VALUE!</v>
      </c>
      <c r="M62" t="e">
        <f>IF(I62="No",CAL_LS(A62,G62,$A$2:$N$251,I62,$AA$2),"")</f>
        <v>#VALUE!</v>
      </c>
      <c r="N62" t="e">
        <f>IF(I62="No",CAL_LF(A62,G62,$A$2:$N$251,I62,$W$6,$AA$2),"")</f>
        <v>#VALUE!</v>
      </c>
      <c r="O62" t="e">
        <f>IF(I62="No",CAL_TF(K62,L62,N62,C62,$AA$2),"0")</f>
        <v>#VALUE!</v>
      </c>
      <c r="P62" s="33">
        <v>0</v>
      </c>
    </row>
    <row r="63" spans="1:16" x14ac:dyDescent="0.2">
      <c r="A63" s="8" t="s">
        <v>355</v>
      </c>
      <c r="B63" s="8" t="s">
        <v>1172</v>
      </c>
      <c r="C63">
        <f>IF(ISERROR(Resource_Table!C63/(Resource_Table!E63*J63)),0,ROUNDUP(Resource_Table!C63/(Resource_Table!E63*J63),0))</f>
        <v>80</v>
      </c>
      <c r="D63" s="8" t="s">
        <v>1168</v>
      </c>
      <c r="F63">
        <v>0</v>
      </c>
      <c r="G63" t="str">
        <f t="shared" si="0"/>
        <v/>
      </c>
      <c r="H63" s="8" t="s">
        <v>1165</v>
      </c>
      <c r="I63" s="8" t="s">
        <v>72</v>
      </c>
      <c r="J63">
        <f>CAL_RESOURCE(Resource_Table!F63,PDM!S12)</f>
        <v>1</v>
      </c>
      <c r="K63" t="e">
        <f>IF(I63="No",CAL_ES(A63,D63,E63,F63,$A$2:$A$251,$C$2:$C$251,$K$2:$K$251,$L$2:$L$251,I63,$V$6,$AA$2,P63),"")</f>
        <v>#VALUE!</v>
      </c>
      <c r="L63" t="e">
        <f>IF(I63="No",CAL_EF(A63,D63,E63,F63,$A$2:$A$251,$C$2:$C$251,$K$2:$K$251,$L$2:$L$251,I63,$AA$2,P63),"")</f>
        <v>#VALUE!</v>
      </c>
      <c r="M63" t="e">
        <f>IF(I63="No",CAL_LS(A63,G63,$A$2:$N$251,I63,$AA$2),"")</f>
        <v>#VALUE!</v>
      </c>
      <c r="N63" t="e">
        <f>IF(I63="No",CAL_LF(A63,G63,$A$2:$N$251,I63,$W$6,$AA$2),"")</f>
        <v>#VALUE!</v>
      </c>
      <c r="O63" t="e">
        <f>IF(I63="No",CAL_TF(K63,L63,N63,C63,$AA$2),"0")</f>
        <v>#VALUE!</v>
      </c>
      <c r="P63" s="33">
        <v>0</v>
      </c>
    </row>
    <row r="64" spans="1:16" x14ac:dyDescent="0.2">
      <c r="A64" s="8" t="s">
        <v>358</v>
      </c>
      <c r="B64" s="8" t="s">
        <v>1173</v>
      </c>
      <c r="C64">
        <f>IF(ISERROR(Resource_Table!C64/(Resource_Table!E64*J64)),0,ROUNDUP(Resource_Table!C64/(Resource_Table!E64*J64),0))</f>
        <v>165</v>
      </c>
      <c r="D64" s="8" t="s">
        <v>1174</v>
      </c>
      <c r="F64">
        <v>0</v>
      </c>
      <c r="G64" t="str">
        <f t="shared" si="0"/>
        <v>60SS+30 days,61SS+30 days,62SS+30 days,65,214,219FS-15 days,224,230,244FS-7 days,250FS-7 days</v>
      </c>
      <c r="H64" s="8" t="s">
        <v>1134</v>
      </c>
      <c r="I64" s="8" t="s">
        <v>72</v>
      </c>
      <c r="J64">
        <f>CAL_RESOURCE(Resource_Table!F64,PDM!S10)</f>
        <v>2</v>
      </c>
      <c r="K64" t="e">
        <f>IF(I64="No",CAL_ES(A64,D64,E64,F64,$A$2:$A$251,$C$2:$C$251,$K$2:$K$251,$L$2:$L$251,I64,$V$6,$AA$2,P64),"")</f>
        <v>#VALUE!</v>
      </c>
      <c r="L64" t="e">
        <f>IF(I64="No",CAL_EF(A64,D64,E64,F64,$A$2:$A$251,$C$2:$C$251,$K$2:$K$251,$L$2:$L$251,I64,$AA$2,P64),"")</f>
        <v>#VALUE!</v>
      </c>
      <c r="M64" t="e">
        <f>IF(I64="No",CAL_LS(A64,G64,$A$2:$N$251,I64,$AA$2),"")</f>
        <v>#VALUE!</v>
      </c>
      <c r="N64" t="e">
        <f>IF(I64="No",CAL_LF(A64,G64,$A$2:$N$251,I64,$W$6,$AA$2),"")</f>
        <v>#VALUE!</v>
      </c>
      <c r="O64" t="e">
        <f>IF(I64="No",CAL_TF(K64,L64,N64,C64,$AA$2),"0")</f>
        <v>#VALUE!</v>
      </c>
      <c r="P64" s="33">
        <v>0</v>
      </c>
    </row>
    <row r="65" spans="1:16" x14ac:dyDescent="0.2">
      <c r="A65" s="8" t="s">
        <v>364</v>
      </c>
      <c r="B65" s="8" t="s">
        <v>1176</v>
      </c>
      <c r="C65" s="6" t="s">
        <v>1033</v>
      </c>
      <c r="D65" s="8"/>
      <c r="F65">
        <v>0</v>
      </c>
      <c r="G65" t="str">
        <f t="shared" si="0"/>
        <v/>
      </c>
      <c r="H65" s="8"/>
      <c r="I65" s="8" t="s">
        <v>47</v>
      </c>
      <c r="J65" s="6"/>
      <c r="K65" t="str">
        <f>IF(I65="No",CAL_ES(A65,D65,E65,F65,$A$2:$A$251,$C$2:$C$251,$K$2:$K$251,$L$2:$L$251,I65,$V$6,$AA$2,P65),"")</f>
        <v/>
      </c>
      <c r="L65" t="str">
        <f>IF(I65="No",CAL_EF(A65,D65,E65,F65,$A$2:$A$251,$C$2:$C$251,$K$2:$K$251,$L$2:$L$251,I65,$AA$2,P65),"")</f>
        <v/>
      </c>
      <c r="M65" t="str">
        <f>IF(I65="No",CAL_LS(A65,G65,$A$2:$N$251,I65,$AA$2),"")</f>
        <v/>
      </c>
      <c r="N65" t="str">
        <f>IF(I65="No",CAL_LF(A65,G65,$A$2:$N$251,I65,$W$6,$AA$2),"")</f>
        <v/>
      </c>
      <c r="O65" t="str">
        <f>IF(I65="No",CAL_TF(K65,L65,N65,C65,$AA$2),"0")</f>
        <v>0</v>
      </c>
      <c r="P65" s="33">
        <v>0</v>
      </c>
    </row>
    <row r="66" spans="1:16" x14ac:dyDescent="0.2">
      <c r="A66" s="8" t="s">
        <v>368</v>
      </c>
      <c r="B66" s="8" t="s">
        <v>1178</v>
      </c>
      <c r="C66">
        <f>IF(ISERROR(Resource_Table!C66/(Resource_Table!E66*J66)),0,ROUNDUP(Resource_Table!C66/(Resource_Table!E66*J66),0))</f>
        <v>30</v>
      </c>
      <c r="D66" s="8" t="s">
        <v>358</v>
      </c>
      <c r="F66">
        <v>0</v>
      </c>
      <c r="G66" t="str">
        <f t="shared" ref="G66:G129" si="1">FIND_Successor(A66,$D$2:$D$251,$E$2:$E$251,$F$2:$F$251)</f>
        <v>68FS+45 days,69FS+45 days,92SS</v>
      </c>
      <c r="H66" s="8" t="s">
        <v>1129</v>
      </c>
      <c r="I66" s="8" t="s">
        <v>72</v>
      </c>
      <c r="J66">
        <f>CAL_RESOURCE(Resource_Table!F66,PDM!S9)</f>
        <v>14</v>
      </c>
      <c r="K66" t="e">
        <f>IF(I66="No",CAL_ES(A66,D66,E66,F66,$A$2:$A$251,$C$2:$C$251,$K$2:$K$251,$L$2:$L$251,I66,$V$6,$AA$2,P66),"")</f>
        <v>#VALUE!</v>
      </c>
      <c r="L66" t="e">
        <f>IF(I66="No",CAL_EF(A66,D66,E66,F66,$A$2:$A$251,$C$2:$C$251,$K$2:$K$251,$L$2:$L$251,I66,$AA$2,P66),"")</f>
        <v>#VALUE!</v>
      </c>
      <c r="M66" t="e">
        <f>IF(I66="No",CAL_LS(A66,G66,$A$2:$N$251,I66,$AA$2),"")</f>
        <v>#VALUE!</v>
      </c>
      <c r="N66" t="e">
        <f>IF(I66="No",CAL_LF(A66,G66,$A$2:$N$251,I66,$W$6,$AA$2),"")</f>
        <v>#VALUE!</v>
      </c>
      <c r="O66" t="e">
        <f>IF(I66="No",CAL_TF(K66,L66,N66,C66,$AA$2),"0")</f>
        <v>#VALUE!</v>
      </c>
      <c r="P66" s="33">
        <v>0</v>
      </c>
    </row>
    <row r="67" spans="1:16" x14ac:dyDescent="0.2">
      <c r="A67" s="8" t="s">
        <v>374</v>
      </c>
      <c r="B67" s="8" t="s">
        <v>1180</v>
      </c>
      <c r="C67" s="6" t="s">
        <v>1033</v>
      </c>
      <c r="D67" s="8"/>
      <c r="F67">
        <v>0</v>
      </c>
      <c r="G67" t="str">
        <f t="shared" si="1"/>
        <v/>
      </c>
      <c r="H67" s="8"/>
      <c r="I67" s="8" t="s">
        <v>47</v>
      </c>
      <c r="J67" s="6"/>
      <c r="K67" t="str">
        <f>IF(I67="No",CAL_ES(A67,D67,E67,F67,$A$2:$A$251,$C$2:$C$251,$K$2:$K$251,$L$2:$L$251,I67,$V$6,$AA$2,P67),"")</f>
        <v/>
      </c>
      <c r="L67" t="str">
        <f>IF(I67="No",CAL_EF(A67,D67,E67,F67,$A$2:$A$251,$C$2:$C$251,$K$2:$K$251,$L$2:$L$251,I67,$AA$2,P67),"")</f>
        <v/>
      </c>
      <c r="M67" t="str">
        <f>IF(I67="No",CAL_LS(A67,G67,$A$2:$N$251,I67,$AA$2),"")</f>
        <v/>
      </c>
      <c r="N67" t="str">
        <f>IF(I67="No",CAL_LF(A67,G67,$A$2:$N$251,I67,$W$6,$AA$2),"")</f>
        <v/>
      </c>
      <c r="O67" t="str">
        <f>IF(I67="No",CAL_TF(K67,L67,N67,C67,$AA$2),"0")</f>
        <v>0</v>
      </c>
      <c r="P67" s="33">
        <v>0</v>
      </c>
    </row>
    <row r="68" spans="1:16" x14ac:dyDescent="0.2">
      <c r="A68" s="8" t="s">
        <v>377</v>
      </c>
      <c r="B68" s="8" t="s">
        <v>1132</v>
      </c>
      <c r="C68">
        <f>IF(ISERROR(Resource_Table!C68/(Resource_Table!E68*J68)),0,ROUNDUP(Resource_Table!C68/(Resource_Table!E68*J68),0))</f>
        <v>30</v>
      </c>
      <c r="D68" s="8" t="s">
        <v>379</v>
      </c>
      <c r="F68">
        <v>0</v>
      </c>
      <c r="G68" t="str">
        <f t="shared" si="1"/>
        <v/>
      </c>
      <c r="H68" s="8" t="s">
        <v>1134</v>
      </c>
      <c r="I68" s="8" t="s">
        <v>72</v>
      </c>
      <c r="J68">
        <f>CAL_RESOURCE(Resource_Table!F68,PDM!S10)</f>
        <v>9</v>
      </c>
      <c r="K68" t="e">
        <f>IF(I68="No",CAL_ES(A68,D68,E68,F68,$A$2:$A$251,$C$2:$C$251,$K$2:$K$251,$L$2:$L$251,I68,$V$6,$AA$2,P68),"")</f>
        <v>#VALUE!</v>
      </c>
      <c r="L68" t="e">
        <f>IF(I68="No",CAL_EF(A68,D68,E68,F68,$A$2:$A$251,$C$2:$C$251,$K$2:$K$251,$L$2:$L$251,I68,$AA$2,P68),"")</f>
        <v>#VALUE!</v>
      </c>
      <c r="M68" t="e">
        <f>IF(I68="No",CAL_LS(A68,G68,$A$2:$N$251,I68,$AA$2),"")</f>
        <v>#VALUE!</v>
      </c>
      <c r="N68" t="e">
        <f>IF(I68="No",CAL_LF(A68,G68,$A$2:$N$251,I68,$W$6,$AA$2),"")</f>
        <v>#VALUE!</v>
      </c>
      <c r="O68" t="e">
        <f>IF(I68="No",CAL_TF(K68,L68,N68,C68,$AA$2),"0")</f>
        <v>#VALUE!</v>
      </c>
      <c r="P68" s="33">
        <v>0</v>
      </c>
    </row>
    <row r="69" spans="1:16" x14ac:dyDescent="0.2">
      <c r="A69" s="8" t="s">
        <v>384</v>
      </c>
      <c r="B69" s="8" t="s">
        <v>1135</v>
      </c>
      <c r="C69">
        <f>IF(ISERROR(Resource_Table!C69/(Resource_Table!E69*J69)),0,ROUNDUP(Resource_Table!C69/(Resource_Table!E69*J69),0))</f>
        <v>60</v>
      </c>
      <c r="D69" s="8" t="s">
        <v>1182</v>
      </c>
      <c r="F69">
        <v>0</v>
      </c>
      <c r="G69" t="str">
        <f t="shared" si="1"/>
        <v>67,72</v>
      </c>
      <c r="H69" s="8" t="s">
        <v>1129</v>
      </c>
      <c r="I69" s="8" t="s">
        <v>72</v>
      </c>
      <c r="J69">
        <f>CAL_RESOURCE(Resource_Table!F69,PDM!S9)</f>
        <v>3</v>
      </c>
      <c r="K69" t="e">
        <f>IF(I69="No",CAL_ES(A69,D69,E69,F69,$A$2:$A$251,$C$2:$C$251,$K$2:$K$251,$L$2:$L$251,I69,$V$6,$AA$2,P69),"")</f>
        <v>#VALUE!</v>
      </c>
      <c r="L69" t="e">
        <f>IF(I69="No",CAL_EF(A69,D69,E69,F69,$A$2:$A$251,$C$2:$C$251,$K$2:$K$251,$L$2:$L$251,I69,$AA$2,P69),"")</f>
        <v>#VALUE!</v>
      </c>
      <c r="M69" t="e">
        <f>IF(I69="No",CAL_LS(A69,G69,$A$2:$N$251,I69,$AA$2),"")</f>
        <v>#VALUE!</v>
      </c>
      <c r="N69" t="e">
        <f>IF(I69="No",CAL_LF(A69,G69,$A$2:$N$251,I69,$W$6,$AA$2),"")</f>
        <v>#VALUE!</v>
      </c>
      <c r="O69" t="e">
        <f>IF(I69="No",CAL_TF(K69,L69,N69,C69,$AA$2),"0")</f>
        <v>#VALUE!</v>
      </c>
      <c r="P69" s="33">
        <v>0</v>
      </c>
    </row>
    <row r="70" spans="1:16" x14ac:dyDescent="0.2">
      <c r="A70" s="8" t="s">
        <v>391</v>
      </c>
      <c r="B70" s="8" t="s">
        <v>1137</v>
      </c>
      <c r="C70">
        <f>IF(ISERROR(Resource_Table!C70/(Resource_Table!E70*J70)),0,ROUNDUP(Resource_Table!C70/(Resource_Table!E70*J70),0))</f>
        <v>30</v>
      </c>
      <c r="D70" s="8" t="s">
        <v>1182</v>
      </c>
      <c r="F70">
        <v>0</v>
      </c>
      <c r="G70" t="str">
        <f t="shared" si="1"/>
        <v>70,71</v>
      </c>
      <c r="H70" s="8" t="s">
        <v>1129</v>
      </c>
      <c r="I70" s="8" t="s">
        <v>72</v>
      </c>
      <c r="J70">
        <f>CAL_RESOURCE(Resource_Table!F70,PDM!S9)</f>
        <v>3</v>
      </c>
      <c r="K70" t="e">
        <f>IF(I70="No",CAL_ES(A70,D70,E70,F70,$A$2:$A$251,$C$2:$C$251,$K$2:$K$251,$L$2:$L$251,I70,$V$6,$AA$2,P70),"")</f>
        <v>#VALUE!</v>
      </c>
      <c r="L70" t="e">
        <f>IF(I70="No",CAL_EF(A70,D70,E70,F70,$A$2:$A$251,$C$2:$C$251,$K$2:$K$251,$L$2:$L$251,I70,$AA$2,P70),"")</f>
        <v>#VALUE!</v>
      </c>
      <c r="M70" t="e">
        <f>IF(I70="No",CAL_LS(A70,G70,$A$2:$N$251,I70,$AA$2),"")</f>
        <v>#VALUE!</v>
      </c>
      <c r="N70" t="e">
        <f>IF(I70="No",CAL_LF(A70,G70,$A$2:$N$251,I70,$W$6,$AA$2),"")</f>
        <v>#VALUE!</v>
      </c>
      <c r="O70" t="e">
        <f>IF(I70="No",CAL_TF(K70,L70,N70,C70,$AA$2),"0")</f>
        <v>#VALUE!</v>
      </c>
      <c r="P70" s="33">
        <v>0</v>
      </c>
    </row>
    <row r="71" spans="1:16" x14ac:dyDescent="0.2">
      <c r="A71" s="8" t="s">
        <v>396</v>
      </c>
      <c r="B71" s="8" t="s">
        <v>1138</v>
      </c>
      <c r="C71">
        <f>IF(ISERROR(Resource_Table!C71/(Resource_Table!E71*J71)),0,ROUNDUP(Resource_Table!C71/(Resource_Table!E71*J71),0))</f>
        <v>30</v>
      </c>
      <c r="D71" s="8" t="s">
        <v>391</v>
      </c>
      <c r="F71">
        <v>0</v>
      </c>
      <c r="G71" t="str">
        <f t="shared" si="1"/>
        <v>67,72</v>
      </c>
      <c r="H71" s="8" t="s">
        <v>1134</v>
      </c>
      <c r="I71" s="8" t="s">
        <v>72</v>
      </c>
      <c r="J71">
        <f>CAL_RESOURCE(Resource_Table!F71,PDM!S10)</f>
        <v>1</v>
      </c>
      <c r="K71" t="e">
        <f>IF(I71="No",CAL_ES(A71,D71,E71,F71,$A$2:$A$251,$C$2:$C$251,$K$2:$K$251,$L$2:$L$251,I71,$V$6,$AA$2,P71),"")</f>
        <v>#VALUE!</v>
      </c>
      <c r="L71" t="e">
        <f>IF(I71="No",CAL_EF(A71,D71,E71,F71,$A$2:$A$251,$C$2:$C$251,$K$2:$K$251,$L$2:$L$251,I71,$AA$2,P71),"")</f>
        <v>#VALUE!</v>
      </c>
      <c r="M71" t="e">
        <f>IF(I71="No",CAL_LS(A71,G71,$A$2:$N$251,I71,$AA$2),"")</f>
        <v>#VALUE!</v>
      </c>
      <c r="N71" t="e">
        <f>IF(I71="No",CAL_LF(A71,G71,$A$2:$N$251,I71,$W$6,$AA$2),"")</f>
        <v>#VALUE!</v>
      </c>
      <c r="O71" t="e">
        <f>IF(I71="No",CAL_TF(K71,L71,N71,C71,$AA$2),"0")</f>
        <v>#VALUE!</v>
      </c>
      <c r="P71" s="33">
        <v>0</v>
      </c>
    </row>
    <row r="72" spans="1:16" x14ac:dyDescent="0.2">
      <c r="A72" s="8" t="s">
        <v>400</v>
      </c>
      <c r="B72" s="8" t="s">
        <v>1139</v>
      </c>
      <c r="C72">
        <f>IF(ISERROR(Resource_Table!C72/(Resource_Table!E72*J72)),0,ROUNDUP(Resource_Table!C72/(Resource_Table!E72*J72),0))</f>
        <v>30</v>
      </c>
      <c r="D72" s="8" t="s">
        <v>391</v>
      </c>
      <c r="F72">
        <v>0</v>
      </c>
      <c r="G72" t="str">
        <f t="shared" si="1"/>
        <v>67,72</v>
      </c>
      <c r="H72" s="8" t="s">
        <v>1129</v>
      </c>
      <c r="I72" s="8" t="s">
        <v>72</v>
      </c>
      <c r="J72">
        <f>CAL_RESOURCE(Resource_Table!F72,PDM!S9)</f>
        <v>1</v>
      </c>
      <c r="K72" t="e">
        <f>IF(I72="No",CAL_ES(A72,D72,E72,F72,$A$2:$A$251,$C$2:$C$251,$K$2:$K$251,$L$2:$L$251,I72,$V$6,$AA$2,P72),"")</f>
        <v>#VALUE!</v>
      </c>
      <c r="L72" t="e">
        <f>IF(I72="No",CAL_EF(A72,D72,E72,F72,$A$2:$A$251,$C$2:$C$251,$K$2:$K$251,$L$2:$L$251,I72,$AA$2,P72),"")</f>
        <v>#VALUE!</v>
      </c>
      <c r="M72" t="e">
        <f>IF(I72="No",CAL_LS(A72,G72,$A$2:$N$251,I72,$AA$2),"")</f>
        <v>#VALUE!</v>
      </c>
      <c r="N72" t="e">
        <f>IF(I72="No",CAL_LF(A72,G72,$A$2:$N$251,I72,$W$6,$AA$2),"")</f>
        <v>#VALUE!</v>
      </c>
      <c r="O72" t="e">
        <f>IF(I72="No",CAL_TF(K72,L72,N72,C72,$AA$2),"0")</f>
        <v>#VALUE!</v>
      </c>
      <c r="P72" s="33">
        <v>0</v>
      </c>
    </row>
    <row r="73" spans="1:16" x14ac:dyDescent="0.2">
      <c r="A73" s="8" t="s">
        <v>402</v>
      </c>
      <c r="B73" s="8" t="s">
        <v>1140</v>
      </c>
      <c r="C73">
        <f>IF(ISERROR(Resource_Table!C73/(Resource_Table!E73*J73)),0,ROUNDUP(Resource_Table!C73/(Resource_Table!E73*J73),0))</f>
        <v>30</v>
      </c>
      <c r="D73" s="8" t="s">
        <v>379</v>
      </c>
      <c r="F73">
        <v>0</v>
      </c>
      <c r="G73" t="str">
        <f t="shared" si="1"/>
        <v/>
      </c>
      <c r="H73" s="8" t="s">
        <v>1129</v>
      </c>
      <c r="I73" s="8" t="s">
        <v>72</v>
      </c>
      <c r="J73">
        <f>CAL_RESOURCE(Resource_Table!F73,PDM!S9)</f>
        <v>4</v>
      </c>
      <c r="K73" t="e">
        <f>IF(I73="No",CAL_ES(A73,D73,E73,F73,$A$2:$A$251,$C$2:$C$251,$K$2:$K$251,$L$2:$L$251,I73,$V$6,$AA$2,P73),"")</f>
        <v>#VALUE!</v>
      </c>
      <c r="L73" t="e">
        <f>IF(I73="No",CAL_EF(A73,D73,E73,F73,$A$2:$A$251,$C$2:$C$251,$K$2:$K$251,$L$2:$L$251,I73,$AA$2,P73),"")</f>
        <v>#VALUE!</v>
      </c>
      <c r="M73" t="e">
        <f>IF(I73="No",CAL_LS(A73,G73,$A$2:$N$251,I73,$AA$2),"")</f>
        <v>#VALUE!</v>
      </c>
      <c r="N73" t="e">
        <f>IF(I73="No",CAL_LF(A73,G73,$A$2:$N$251,I73,$W$6,$AA$2),"")</f>
        <v>#VALUE!</v>
      </c>
      <c r="O73" t="e">
        <f>IF(I73="No",CAL_TF(K73,L73,N73,C73,$AA$2),"0")</f>
        <v>#VALUE!</v>
      </c>
      <c r="P73" s="33">
        <v>0</v>
      </c>
    </row>
    <row r="74" spans="1:16" x14ac:dyDescent="0.2">
      <c r="A74" s="8" t="s">
        <v>404</v>
      </c>
      <c r="B74" s="8" t="s">
        <v>1141</v>
      </c>
      <c r="C74" s="6" t="s">
        <v>1033</v>
      </c>
      <c r="D74" s="8"/>
      <c r="F74">
        <v>0</v>
      </c>
      <c r="G74" t="str">
        <f t="shared" si="1"/>
        <v/>
      </c>
      <c r="H74" s="8"/>
      <c r="I74" s="8" t="s">
        <v>47</v>
      </c>
      <c r="J74" s="6"/>
      <c r="K74" t="str">
        <f>IF(I74="No",CAL_ES(A74,D74,E74,F74,$A$2:$A$251,$C$2:$C$251,$K$2:$K$251,$L$2:$L$251,I74,$V$6,$AA$2,P74),"")</f>
        <v/>
      </c>
      <c r="L74" t="str">
        <f>IF(I74="No",CAL_EF(A74,D74,E74,F74,$A$2:$A$251,$C$2:$C$251,$K$2:$K$251,$L$2:$L$251,I74,$AA$2,P74),"")</f>
        <v/>
      </c>
      <c r="M74" t="str">
        <f>IF(I74="No",CAL_LS(A74,G74,$A$2:$N$251,I74,$AA$2),"")</f>
        <v/>
      </c>
      <c r="N74" t="str">
        <f>IF(I74="No",CAL_LF(A74,G74,$A$2:$N$251,I74,$W$6,$AA$2),"")</f>
        <v/>
      </c>
      <c r="O74" t="str">
        <f>IF(I74="No",CAL_TF(K74,L74,N74,C74,$AA$2),"0")</f>
        <v>0</v>
      </c>
      <c r="P74" s="33">
        <v>0</v>
      </c>
    </row>
    <row r="75" spans="1:16" x14ac:dyDescent="0.2">
      <c r="A75" s="8" t="s">
        <v>406</v>
      </c>
      <c r="B75" s="8" t="s">
        <v>1142</v>
      </c>
      <c r="C75">
        <f>IF(ISERROR(Resource_Table!C75/(Resource_Table!E75*J75)),0,ROUNDUP(Resource_Table!C75/(Resource_Table!E75*J75),0))</f>
        <v>15</v>
      </c>
      <c r="D75" s="8" t="s">
        <v>1183</v>
      </c>
      <c r="F75">
        <v>0</v>
      </c>
      <c r="G75" t="str">
        <f t="shared" si="1"/>
        <v>76FS+135 days</v>
      </c>
      <c r="H75" s="8" t="s">
        <v>1145</v>
      </c>
      <c r="I75" s="8" t="s">
        <v>72</v>
      </c>
      <c r="J75">
        <f>CAL_RESOURCE(Resource_Table!F75,PDM!S11)</f>
        <v>2</v>
      </c>
      <c r="K75" t="e">
        <f>IF(I75="No",CAL_ES(A75,D75,E75,F75,$A$2:$A$251,$C$2:$C$251,$K$2:$K$251,$L$2:$L$251,I75,$V$6,$AA$2,P75),"")</f>
        <v>#VALUE!</v>
      </c>
      <c r="L75" t="e">
        <f>IF(I75="No",CAL_EF(A75,D75,E75,F75,$A$2:$A$251,$C$2:$C$251,$K$2:$K$251,$L$2:$L$251,I75,$AA$2,P75),"")</f>
        <v>#VALUE!</v>
      </c>
      <c r="M75" t="e">
        <f>IF(I75="No",CAL_LS(A75,G75,$A$2:$N$251,I75,$AA$2),"")</f>
        <v>#VALUE!</v>
      </c>
      <c r="N75" t="e">
        <f>IF(I75="No",CAL_LF(A75,G75,$A$2:$N$251,I75,$W$6,$AA$2),"")</f>
        <v>#VALUE!</v>
      </c>
      <c r="O75" t="e">
        <f>IF(I75="No",CAL_TF(K75,L75,N75,C75,$AA$2),"0")</f>
        <v>#VALUE!</v>
      </c>
      <c r="P75" s="33">
        <v>0</v>
      </c>
    </row>
    <row r="76" spans="1:16" x14ac:dyDescent="0.2">
      <c r="A76" s="8" t="s">
        <v>408</v>
      </c>
      <c r="B76" s="8" t="s">
        <v>1146</v>
      </c>
      <c r="C76">
        <f>IF(ISERROR(Resource_Table!C76/(Resource_Table!E76*J76)),0,ROUNDUP(Resource_Table!C76/(Resource_Table!E76*J76),0))</f>
        <v>15</v>
      </c>
      <c r="D76" s="8" t="s">
        <v>410</v>
      </c>
      <c r="F76">
        <v>0</v>
      </c>
      <c r="G76" t="str">
        <f t="shared" si="1"/>
        <v>74FS+135 days</v>
      </c>
      <c r="H76" s="8" t="s">
        <v>1145</v>
      </c>
      <c r="I76" s="8" t="s">
        <v>72</v>
      </c>
      <c r="J76">
        <f>CAL_RESOURCE(Resource_Table!F76,PDM!S11)</f>
        <v>2</v>
      </c>
      <c r="K76" t="e">
        <f>IF(I76="No",CAL_ES(A76,D76,E76,F76,$A$2:$A$251,$C$2:$C$251,$K$2:$K$251,$L$2:$L$251,I76,$V$6,$AA$2,P76),"")</f>
        <v>#VALUE!</v>
      </c>
      <c r="L76" t="e">
        <f>IF(I76="No",CAL_EF(A76,D76,E76,F76,$A$2:$A$251,$C$2:$C$251,$K$2:$K$251,$L$2:$L$251,I76,$AA$2,P76),"")</f>
        <v>#VALUE!</v>
      </c>
      <c r="M76" t="e">
        <f>IF(I76="No",CAL_LS(A76,G76,$A$2:$N$251,I76,$AA$2),"")</f>
        <v>#VALUE!</v>
      </c>
      <c r="N76" t="e">
        <f>IF(I76="No",CAL_LF(A76,G76,$A$2:$N$251,I76,$W$6,$AA$2),"")</f>
        <v>#VALUE!</v>
      </c>
      <c r="O76" t="e">
        <f>IF(I76="No",CAL_TF(K76,L76,N76,C76,$AA$2),"0")</f>
        <v>#VALUE!</v>
      </c>
      <c r="P76" s="33">
        <v>0</v>
      </c>
    </row>
    <row r="77" spans="1:16" x14ac:dyDescent="0.2">
      <c r="A77" s="8" t="s">
        <v>411</v>
      </c>
      <c r="B77" s="8" t="s">
        <v>1148</v>
      </c>
      <c r="C77">
        <f>IF(ISERROR(Resource_Table!C77/(Resource_Table!E77*J77)),0,ROUNDUP(Resource_Table!C77/(Resource_Table!E77*J77),0))</f>
        <v>15</v>
      </c>
      <c r="D77" s="8" t="s">
        <v>1185</v>
      </c>
      <c r="F77">
        <v>0</v>
      </c>
      <c r="G77" t="str">
        <f t="shared" si="1"/>
        <v/>
      </c>
      <c r="H77" s="8" t="s">
        <v>1145</v>
      </c>
      <c r="I77" s="8" t="s">
        <v>72</v>
      </c>
      <c r="J77">
        <f>CAL_RESOURCE(Resource_Table!F77,PDM!S11)</f>
        <v>2</v>
      </c>
      <c r="K77" t="e">
        <f>IF(I77="No",CAL_ES(A77,D77,E77,F77,$A$2:$A$251,$C$2:$C$251,$K$2:$K$251,$L$2:$L$251,I77,$V$6,$AA$2,P77),"")</f>
        <v>#VALUE!</v>
      </c>
      <c r="L77" t="e">
        <f>IF(I77="No",CAL_EF(A77,D77,E77,F77,$A$2:$A$251,$C$2:$C$251,$K$2:$K$251,$L$2:$L$251,I77,$AA$2,P77),"")</f>
        <v>#VALUE!</v>
      </c>
      <c r="M77" t="e">
        <f>IF(I77="No",CAL_LS(A77,G77,$A$2:$N$251,I77,$AA$2),"")</f>
        <v>#VALUE!</v>
      </c>
      <c r="N77" t="e">
        <f>IF(I77="No",CAL_LF(A77,G77,$A$2:$N$251,I77,$W$6,$AA$2),"")</f>
        <v>#VALUE!</v>
      </c>
      <c r="O77" t="e">
        <f>IF(I77="No",CAL_TF(K77,L77,N77,C77,$AA$2),"0")</f>
        <v>#VALUE!</v>
      </c>
      <c r="P77" s="33">
        <v>0</v>
      </c>
    </row>
    <row r="78" spans="1:16" x14ac:dyDescent="0.2">
      <c r="A78" s="8" t="s">
        <v>413</v>
      </c>
      <c r="B78" s="8" t="s">
        <v>1186</v>
      </c>
      <c r="C78" s="6" t="s">
        <v>1033</v>
      </c>
      <c r="D78" s="8"/>
      <c r="F78">
        <v>0</v>
      </c>
      <c r="G78" t="str">
        <f t="shared" si="1"/>
        <v/>
      </c>
      <c r="H78" s="8"/>
      <c r="I78" s="8" t="s">
        <v>47</v>
      </c>
      <c r="J78" s="6"/>
      <c r="K78" t="str">
        <f>IF(I78="No",CAL_ES(A78,D78,E78,F78,$A$2:$A$251,$C$2:$C$251,$K$2:$K$251,$L$2:$L$251,I78,$V$6,$AA$2,P78),"")</f>
        <v/>
      </c>
      <c r="L78" t="str">
        <f>IF(I78="No",CAL_EF(A78,D78,E78,F78,$A$2:$A$251,$C$2:$C$251,$K$2:$K$251,$L$2:$L$251,I78,$AA$2,P78),"")</f>
        <v/>
      </c>
      <c r="M78" t="str">
        <f>IF(I78="No",CAL_LS(A78,G78,$A$2:$N$251,I78,$AA$2),"")</f>
        <v/>
      </c>
      <c r="N78" t="str">
        <f>IF(I78="No",CAL_LF(A78,G78,$A$2:$N$251,I78,$W$6,$AA$2),"")</f>
        <v/>
      </c>
      <c r="O78" t="str">
        <f>IF(I78="No",CAL_TF(K78,L78,N78,C78,$AA$2),"0")</f>
        <v>0</v>
      </c>
      <c r="P78" s="33">
        <v>0</v>
      </c>
    </row>
    <row r="79" spans="1:16" x14ac:dyDescent="0.2">
      <c r="A79" s="8" t="s">
        <v>416</v>
      </c>
      <c r="B79" s="8" t="s">
        <v>1151</v>
      </c>
      <c r="C79" s="6" t="s">
        <v>1033</v>
      </c>
      <c r="D79" s="8"/>
      <c r="F79">
        <v>0</v>
      </c>
      <c r="G79" t="str">
        <f t="shared" si="1"/>
        <v/>
      </c>
      <c r="H79" s="8"/>
      <c r="I79" s="8" t="s">
        <v>47</v>
      </c>
      <c r="J79" s="6"/>
      <c r="K79" t="str">
        <f>IF(I79="No",CAL_ES(A79,D79,E79,F79,$A$2:$A$251,$C$2:$C$251,$K$2:$K$251,$L$2:$L$251,I79,$V$6,$AA$2,P79),"")</f>
        <v/>
      </c>
      <c r="L79" t="str">
        <f>IF(I79="No",CAL_EF(A79,D79,E79,F79,$A$2:$A$251,$C$2:$C$251,$K$2:$K$251,$L$2:$L$251,I79,$AA$2,P79),"")</f>
        <v/>
      </c>
      <c r="M79" t="str">
        <f>IF(I79="No",CAL_LS(A79,G79,$A$2:$N$251,I79,$AA$2),"")</f>
        <v/>
      </c>
      <c r="N79" t="str">
        <f>IF(I79="No",CAL_LF(A79,G79,$A$2:$N$251,I79,$W$6,$AA$2),"")</f>
        <v/>
      </c>
      <c r="O79" t="str">
        <f>IF(I79="No",CAL_TF(K79,L79,N79,C79,$AA$2),"0")</f>
        <v>0</v>
      </c>
      <c r="P79" s="33">
        <v>0</v>
      </c>
    </row>
    <row r="80" spans="1:16" x14ac:dyDescent="0.2">
      <c r="A80" s="8" t="s">
        <v>418</v>
      </c>
      <c r="B80" s="8" t="s">
        <v>1142</v>
      </c>
      <c r="C80">
        <f>IF(ISERROR(Resource_Table!C80/(Resource_Table!E80*J80)),0,ROUNDUP(Resource_Table!C80/(Resource_Table!E80*J80),0))</f>
        <v>126</v>
      </c>
      <c r="D80" s="8" t="s">
        <v>1187</v>
      </c>
      <c r="F80">
        <v>0</v>
      </c>
      <c r="G80" t="str">
        <f t="shared" si="1"/>
        <v>81FS+15 days</v>
      </c>
      <c r="H80" s="8" t="s">
        <v>1145</v>
      </c>
      <c r="I80" s="8" t="s">
        <v>72</v>
      </c>
      <c r="J80">
        <f>CAL_RESOURCE(Resource_Table!F80,PDM!S11)</f>
        <v>1</v>
      </c>
      <c r="K80" t="e">
        <f>IF(I80="No",CAL_ES(A80,D80,E80,F80,$A$2:$A$251,$C$2:$C$251,$K$2:$K$251,$L$2:$L$251,I80,$V$6,$AA$2,P80),"")</f>
        <v>#VALUE!</v>
      </c>
      <c r="L80" t="e">
        <f>IF(I80="No",CAL_EF(A80,D80,E80,F80,$A$2:$A$251,$C$2:$C$251,$K$2:$K$251,$L$2:$L$251,I80,$AA$2,P80),"")</f>
        <v>#VALUE!</v>
      </c>
      <c r="M80" t="e">
        <f>IF(I80="No",CAL_LS(A80,G80,$A$2:$N$251,I80,$AA$2),"")</f>
        <v>#VALUE!</v>
      </c>
      <c r="N80" t="e">
        <f>IF(I80="No",CAL_LF(A80,G80,$A$2:$N$251,I80,$W$6,$AA$2),"")</f>
        <v>#VALUE!</v>
      </c>
      <c r="O80" t="e">
        <f>IF(I80="No",CAL_TF(K80,L80,N80,C80,$AA$2),"0")</f>
        <v>#VALUE!</v>
      </c>
      <c r="P80" s="33">
        <v>0</v>
      </c>
    </row>
    <row r="81" spans="1:16" x14ac:dyDescent="0.2">
      <c r="A81" s="8" t="s">
        <v>420</v>
      </c>
      <c r="B81" s="8" t="s">
        <v>1146</v>
      </c>
      <c r="C81">
        <f>IF(ISERROR(Resource_Table!C81/(Resource_Table!E81*J81)),0,ROUNDUP(Resource_Table!C81/(Resource_Table!E81*J81),0))</f>
        <v>126</v>
      </c>
      <c r="D81" s="8" t="s">
        <v>219</v>
      </c>
      <c r="F81">
        <v>0</v>
      </c>
      <c r="G81" t="str">
        <f t="shared" si="1"/>
        <v>75,79FS+15 days,84SS</v>
      </c>
      <c r="H81" s="8" t="s">
        <v>1145</v>
      </c>
      <c r="I81" s="8" t="s">
        <v>72</v>
      </c>
      <c r="J81">
        <f>CAL_RESOURCE(Resource_Table!F81,PDM!S11)</f>
        <v>1</v>
      </c>
      <c r="K81" t="e">
        <f>IF(I81="No",CAL_ES(A81,D81,E81,F81,$A$2:$A$251,$C$2:$C$251,$K$2:$K$251,$L$2:$L$251,I81,$V$6,$AA$2,P81),"")</f>
        <v>#VALUE!</v>
      </c>
      <c r="L81" t="e">
        <f>IF(I81="No",CAL_EF(A81,D81,E81,F81,$A$2:$A$251,$C$2:$C$251,$K$2:$K$251,$L$2:$L$251,I81,$AA$2,P81),"")</f>
        <v>#VALUE!</v>
      </c>
      <c r="M81" t="e">
        <f>IF(I81="No",CAL_LS(A81,G81,$A$2:$N$251,I81,$AA$2),"")</f>
        <v>#VALUE!</v>
      </c>
      <c r="N81" t="e">
        <f>IF(I81="No",CAL_LF(A81,G81,$A$2:$N$251,I81,$W$6,$AA$2),"")</f>
        <v>#VALUE!</v>
      </c>
      <c r="O81" t="e">
        <f>IF(I81="No",CAL_TF(K81,L81,N81,C81,$AA$2),"0")</f>
        <v>#VALUE!</v>
      </c>
      <c r="P81" s="33">
        <v>0</v>
      </c>
    </row>
    <row r="82" spans="1:16" x14ac:dyDescent="0.2">
      <c r="A82" s="8" t="s">
        <v>422</v>
      </c>
      <c r="B82" s="8" t="s">
        <v>1148</v>
      </c>
      <c r="C82">
        <f>IF(ISERROR(Resource_Table!C82/(Resource_Table!E82*J82)),0,ROUNDUP(Resource_Table!C82/(Resource_Table!E82*J82),0))</f>
        <v>126</v>
      </c>
      <c r="D82" s="8" t="s">
        <v>1190</v>
      </c>
      <c r="F82">
        <v>0</v>
      </c>
      <c r="G82" t="str">
        <f t="shared" si="1"/>
        <v/>
      </c>
      <c r="H82" s="8" t="s">
        <v>1145</v>
      </c>
      <c r="I82" s="8" t="s">
        <v>72</v>
      </c>
      <c r="J82">
        <f>CAL_RESOURCE(Resource_Table!F82,PDM!S11)</f>
        <v>1</v>
      </c>
      <c r="K82" t="e">
        <f>IF(I82="No",CAL_ES(A82,D82,E82,F82,$A$2:$A$251,$C$2:$C$251,$K$2:$K$251,$L$2:$L$251,I82,$V$6,$AA$2,P82),"")</f>
        <v>#VALUE!</v>
      </c>
      <c r="L82" t="e">
        <f>IF(I82="No",CAL_EF(A82,D82,E82,F82,$A$2:$A$251,$C$2:$C$251,$K$2:$K$251,$L$2:$L$251,I82,$AA$2,P82),"")</f>
        <v>#VALUE!</v>
      </c>
      <c r="M82" t="e">
        <f>IF(I82="No",CAL_LS(A82,G82,$A$2:$N$251,I82,$AA$2),"")</f>
        <v>#VALUE!</v>
      </c>
      <c r="N82" t="e">
        <f>IF(I82="No",CAL_LF(A82,G82,$A$2:$N$251,I82,$W$6,$AA$2),"")</f>
        <v>#VALUE!</v>
      </c>
      <c r="O82" t="e">
        <f>IF(I82="No",CAL_TF(K82,L82,N82,C82,$AA$2),"0")</f>
        <v>#VALUE!</v>
      </c>
      <c r="P82" s="33">
        <v>0</v>
      </c>
    </row>
    <row r="83" spans="1:16" x14ac:dyDescent="0.2">
      <c r="A83" s="8" t="s">
        <v>424</v>
      </c>
      <c r="B83" s="8" t="s">
        <v>1156</v>
      </c>
      <c r="C83" s="6" t="s">
        <v>1033</v>
      </c>
      <c r="D83" s="8"/>
      <c r="F83">
        <v>0</v>
      </c>
      <c r="G83" t="str">
        <f t="shared" si="1"/>
        <v/>
      </c>
      <c r="H83" s="8"/>
      <c r="I83" s="8" t="s">
        <v>47</v>
      </c>
      <c r="J83" s="6"/>
      <c r="K83" t="str">
        <f>IF(I83="No",CAL_ES(A83,D83,E83,F83,$A$2:$A$251,$C$2:$C$251,$K$2:$K$251,$L$2:$L$251,I83,$V$6,$AA$2,P83),"")</f>
        <v/>
      </c>
      <c r="L83" t="str">
        <f>IF(I83="No",CAL_EF(A83,D83,E83,F83,$A$2:$A$251,$C$2:$C$251,$K$2:$K$251,$L$2:$L$251,I83,$AA$2,P83),"")</f>
        <v/>
      </c>
      <c r="M83" t="str">
        <f>IF(I83="No",CAL_LS(A83,G83,$A$2:$N$251,I83,$AA$2),"")</f>
        <v/>
      </c>
      <c r="N83" t="str">
        <f>IF(I83="No",CAL_LF(A83,G83,$A$2:$N$251,I83,$W$6,$AA$2),"")</f>
        <v/>
      </c>
      <c r="O83" t="str">
        <f>IF(I83="No",CAL_TF(K83,L83,N83,C83,$AA$2),"0")</f>
        <v>0</v>
      </c>
      <c r="P83" s="33">
        <v>0</v>
      </c>
    </row>
    <row r="84" spans="1:16" x14ac:dyDescent="0.2">
      <c r="A84" s="8" t="s">
        <v>427</v>
      </c>
      <c r="B84" s="8" t="s">
        <v>1142</v>
      </c>
      <c r="C84">
        <f>IF(ISERROR(Resource_Table!C84/(Resource_Table!E84*J84)),0,ROUNDUP(Resource_Table!C84/(Resource_Table!E84*J84),0))</f>
        <v>126</v>
      </c>
      <c r="D84" s="8" t="s">
        <v>1191</v>
      </c>
      <c r="F84">
        <v>0</v>
      </c>
      <c r="G84" t="str">
        <f t="shared" si="1"/>
        <v>85FS+15 days</v>
      </c>
      <c r="H84" s="8" t="s">
        <v>1145</v>
      </c>
      <c r="I84" s="8" t="s">
        <v>72</v>
      </c>
      <c r="J84">
        <f>CAL_RESOURCE(Resource_Table!F84,PDM!S11)</f>
        <v>1</v>
      </c>
      <c r="K84" t="e">
        <f>IF(I84="No",CAL_ES(A84,D84,E84,F84,$A$2:$A$251,$C$2:$C$251,$K$2:$K$251,$L$2:$L$251,I84,$V$6,$AA$2,P84),"")</f>
        <v>#VALUE!</v>
      </c>
      <c r="L84" t="e">
        <f>IF(I84="No",CAL_EF(A84,D84,E84,F84,$A$2:$A$251,$C$2:$C$251,$K$2:$K$251,$L$2:$L$251,I84,$AA$2,P84),"")</f>
        <v>#VALUE!</v>
      </c>
      <c r="M84" t="e">
        <f>IF(I84="No",CAL_LS(A84,G84,$A$2:$N$251,I84,$AA$2),"")</f>
        <v>#VALUE!</v>
      </c>
      <c r="N84" t="e">
        <f>IF(I84="No",CAL_LF(A84,G84,$A$2:$N$251,I84,$W$6,$AA$2),"")</f>
        <v>#VALUE!</v>
      </c>
      <c r="O84" t="e">
        <f>IF(I84="No",CAL_TF(K84,L84,N84,C84,$AA$2),"0")</f>
        <v>#VALUE!</v>
      </c>
      <c r="P84" s="33">
        <v>0</v>
      </c>
    </row>
    <row r="85" spans="1:16" x14ac:dyDescent="0.2">
      <c r="A85" s="8" t="s">
        <v>429</v>
      </c>
      <c r="B85" s="8" t="s">
        <v>1146</v>
      </c>
      <c r="C85">
        <f>IF(ISERROR(Resource_Table!C85/(Resource_Table!E85*J85)),0,ROUNDUP(Resource_Table!C85/(Resource_Table!E85*J85),0))</f>
        <v>126</v>
      </c>
      <c r="D85" s="8" t="s">
        <v>431</v>
      </c>
      <c r="F85">
        <v>0</v>
      </c>
      <c r="G85" t="str">
        <f t="shared" si="1"/>
        <v>75,83FS+15 days</v>
      </c>
      <c r="H85" s="8" t="s">
        <v>1145</v>
      </c>
      <c r="I85" s="8" t="s">
        <v>72</v>
      </c>
      <c r="J85">
        <f>CAL_RESOURCE(Resource_Table!F85,PDM!S11)</f>
        <v>1</v>
      </c>
      <c r="K85" t="e">
        <f>IF(I85="No",CAL_ES(A85,D85,E85,F85,$A$2:$A$251,$C$2:$C$251,$K$2:$K$251,$L$2:$L$251,I85,$V$6,$AA$2,P85),"")</f>
        <v>#VALUE!</v>
      </c>
      <c r="L85" t="e">
        <f>IF(I85="No",CAL_EF(A85,D85,E85,F85,$A$2:$A$251,$C$2:$C$251,$K$2:$K$251,$L$2:$L$251,I85,$AA$2,P85),"")</f>
        <v>#VALUE!</v>
      </c>
      <c r="M85" t="e">
        <f>IF(I85="No",CAL_LS(A85,G85,$A$2:$N$251,I85,$AA$2),"")</f>
        <v>#VALUE!</v>
      </c>
      <c r="N85" t="e">
        <f>IF(I85="No",CAL_LF(A85,G85,$A$2:$N$251,I85,$W$6,$AA$2),"")</f>
        <v>#VALUE!</v>
      </c>
      <c r="O85" t="e">
        <f>IF(I85="No",CAL_TF(K85,L85,N85,C85,$AA$2),"0")</f>
        <v>#VALUE!</v>
      </c>
      <c r="P85" s="33">
        <v>0</v>
      </c>
    </row>
    <row r="86" spans="1:16" x14ac:dyDescent="0.2">
      <c r="A86" s="8" t="s">
        <v>432</v>
      </c>
      <c r="B86" s="8" t="s">
        <v>1148</v>
      </c>
      <c r="C86">
        <f>IF(ISERROR(Resource_Table!C86/(Resource_Table!E86*J86)),0,ROUNDUP(Resource_Table!C86/(Resource_Table!E86*J86),0))</f>
        <v>126</v>
      </c>
      <c r="D86" s="8" t="s">
        <v>1194</v>
      </c>
      <c r="F86">
        <v>0</v>
      </c>
      <c r="G86" t="str">
        <f t="shared" si="1"/>
        <v/>
      </c>
      <c r="H86" s="8" t="s">
        <v>1145</v>
      </c>
      <c r="I86" s="8" t="s">
        <v>72</v>
      </c>
      <c r="J86">
        <f>CAL_RESOURCE(Resource_Table!F86,PDM!S11)</f>
        <v>1</v>
      </c>
      <c r="K86" t="e">
        <f>IF(I86="No",CAL_ES(A86,D86,E86,F86,$A$2:$A$251,$C$2:$C$251,$K$2:$K$251,$L$2:$L$251,I86,$V$6,$AA$2,P86),"")</f>
        <v>#VALUE!</v>
      </c>
      <c r="L86" t="e">
        <f>IF(I86="No",CAL_EF(A86,D86,E86,F86,$A$2:$A$251,$C$2:$C$251,$K$2:$K$251,$L$2:$L$251,I86,$AA$2,P86),"")</f>
        <v>#VALUE!</v>
      </c>
      <c r="M86" t="e">
        <f>IF(I86="No",CAL_LS(A86,G86,$A$2:$N$251,I86,$AA$2),"")</f>
        <v>#VALUE!</v>
      </c>
      <c r="N86" t="e">
        <f>IF(I86="No",CAL_LF(A86,G86,$A$2:$N$251,I86,$W$6,$AA$2),"")</f>
        <v>#VALUE!</v>
      </c>
      <c r="O86" t="e">
        <f>IF(I86="No",CAL_TF(K86,L86,N86,C86,$AA$2),"0")</f>
        <v>#VALUE!</v>
      </c>
      <c r="P86" s="33">
        <v>0</v>
      </c>
    </row>
    <row r="87" spans="1:16" x14ac:dyDescent="0.2">
      <c r="A87" s="8" t="s">
        <v>434</v>
      </c>
      <c r="B87" s="8" t="s">
        <v>1195</v>
      </c>
      <c r="C87" s="6" t="s">
        <v>1033</v>
      </c>
      <c r="D87" s="8"/>
      <c r="F87">
        <v>0</v>
      </c>
      <c r="G87" t="str">
        <f t="shared" si="1"/>
        <v/>
      </c>
      <c r="H87" s="8"/>
      <c r="I87" s="8" t="s">
        <v>47</v>
      </c>
      <c r="J87" s="6"/>
      <c r="K87" t="str">
        <f>IF(I87="No",CAL_ES(A87,D87,E87,F87,$A$2:$A$251,$C$2:$C$251,$K$2:$K$251,$L$2:$L$251,I87,$V$6,$AA$2,P87),"")</f>
        <v/>
      </c>
      <c r="L87" t="str">
        <f>IF(I87="No",CAL_EF(A87,D87,E87,F87,$A$2:$A$251,$C$2:$C$251,$K$2:$K$251,$L$2:$L$251,I87,$AA$2,P87),"")</f>
        <v/>
      </c>
      <c r="M87" t="str">
        <f>IF(I87="No",CAL_LS(A87,G87,$A$2:$N$251,I87,$AA$2),"")</f>
        <v/>
      </c>
      <c r="N87" t="str">
        <f>IF(I87="No",CAL_LF(A87,G87,$A$2:$N$251,I87,$W$6,$AA$2),"")</f>
        <v/>
      </c>
      <c r="O87" t="str">
        <f>IF(I87="No",CAL_TF(K87,L87,N87,C87,$AA$2),"0")</f>
        <v>0</v>
      </c>
      <c r="P87" s="33">
        <v>0</v>
      </c>
    </row>
    <row r="88" spans="1:16" x14ac:dyDescent="0.2">
      <c r="A88" s="8" t="s">
        <v>443</v>
      </c>
      <c r="B88" s="8" t="s">
        <v>1163</v>
      </c>
      <c r="C88">
        <f>IF(ISERROR(Resource_Table!C88/(Resource_Table!E88*J88)),0,ROUNDUP(Resource_Table!C88/(Resource_Table!E88*J88),0))</f>
        <v>60</v>
      </c>
      <c r="D88" s="8" t="s">
        <v>1197</v>
      </c>
      <c r="F88">
        <v>0</v>
      </c>
      <c r="G88" t="str">
        <f t="shared" si="1"/>
        <v/>
      </c>
      <c r="H88" s="8" t="s">
        <v>1165</v>
      </c>
      <c r="I88" s="8" t="s">
        <v>72</v>
      </c>
      <c r="J88">
        <f>CAL_RESOURCE(Resource_Table!F88,PDM!S12)</f>
        <v>2</v>
      </c>
      <c r="K88" t="e">
        <f>IF(I88="No",CAL_ES(A88,D88,E88,F88,$A$2:$A$251,$C$2:$C$251,$K$2:$K$251,$L$2:$L$251,I88,$V$6,$AA$2,P88),"")</f>
        <v>#VALUE!</v>
      </c>
      <c r="L88" t="e">
        <f>IF(I88="No",CAL_EF(A88,D88,E88,F88,$A$2:$A$251,$C$2:$C$251,$K$2:$K$251,$L$2:$L$251,I88,$AA$2,P88),"")</f>
        <v>#VALUE!</v>
      </c>
      <c r="M88" t="e">
        <f>IF(I88="No",CAL_LS(A88,G88,$A$2:$N$251,I88,$AA$2),"")</f>
        <v>#VALUE!</v>
      </c>
      <c r="N88" t="e">
        <f>IF(I88="No",CAL_LF(A88,G88,$A$2:$N$251,I88,$W$6,$AA$2),"")</f>
        <v>#VALUE!</v>
      </c>
      <c r="O88" t="e">
        <f>IF(I88="No",CAL_TF(K88,L88,N88,C88,$AA$2),"0")</f>
        <v>#VALUE!</v>
      </c>
      <c r="P88" s="33">
        <v>0</v>
      </c>
    </row>
    <row r="89" spans="1:16" x14ac:dyDescent="0.2">
      <c r="A89" s="8" t="s">
        <v>446</v>
      </c>
      <c r="B89" s="8" t="s">
        <v>1166</v>
      </c>
      <c r="C89">
        <f>IF(ISERROR(Resource_Table!C89/(Resource_Table!E89*J89)),0,ROUNDUP(Resource_Table!C89/(Resource_Table!E89*J89),0))</f>
        <v>60</v>
      </c>
      <c r="D89" s="8" t="s">
        <v>1197</v>
      </c>
      <c r="F89">
        <v>0</v>
      </c>
      <c r="G89" t="str">
        <f t="shared" si="1"/>
        <v/>
      </c>
      <c r="H89" s="8" t="s">
        <v>1165</v>
      </c>
      <c r="I89" s="8" t="s">
        <v>72</v>
      </c>
      <c r="J89">
        <f>CAL_RESOURCE(Resource_Table!F89,PDM!S12)</f>
        <v>1</v>
      </c>
      <c r="K89" t="e">
        <f>IF(I89="No",CAL_ES(A89,D89,E89,F89,$A$2:$A$251,$C$2:$C$251,$K$2:$K$251,$L$2:$L$251,I89,$V$6,$AA$2,P89),"")</f>
        <v>#VALUE!</v>
      </c>
      <c r="L89" t="e">
        <f>IF(I89="No",CAL_EF(A89,D89,E89,F89,$A$2:$A$251,$C$2:$C$251,$K$2:$K$251,$L$2:$L$251,I89,$AA$2,P89),"")</f>
        <v>#VALUE!</v>
      </c>
      <c r="M89" t="e">
        <f>IF(I89="No",CAL_LS(A89,G89,$A$2:$N$251,I89,$AA$2),"")</f>
        <v>#VALUE!</v>
      </c>
      <c r="N89" t="e">
        <f>IF(I89="No",CAL_LF(A89,G89,$A$2:$N$251,I89,$W$6,$AA$2),"")</f>
        <v>#VALUE!</v>
      </c>
      <c r="O89" t="e">
        <f>IF(I89="No",CAL_TF(K89,L89,N89,C89,$AA$2),"0")</f>
        <v>#VALUE!</v>
      </c>
      <c r="P89" s="33">
        <v>0</v>
      </c>
    </row>
    <row r="90" spans="1:16" x14ac:dyDescent="0.2">
      <c r="A90" s="8" t="s">
        <v>448</v>
      </c>
      <c r="B90" s="8" t="s">
        <v>1167</v>
      </c>
      <c r="C90">
        <f>IF(ISERROR(Resource_Table!C90/(Resource_Table!E90*J90)),0,ROUNDUP(Resource_Table!C90/(Resource_Table!E90*J90),0))</f>
        <v>80</v>
      </c>
      <c r="D90" s="8" t="s">
        <v>1198</v>
      </c>
      <c r="F90">
        <v>0</v>
      </c>
      <c r="G90" t="str">
        <f t="shared" si="1"/>
        <v>87FS+7 days,88FS+7 days</v>
      </c>
      <c r="H90" s="8" t="s">
        <v>1165</v>
      </c>
      <c r="I90" s="8" t="s">
        <v>72</v>
      </c>
      <c r="J90">
        <f>CAL_RESOURCE(Resource_Table!F90,PDM!S12)</f>
        <v>1</v>
      </c>
      <c r="K90" t="e">
        <f>IF(I90="No",CAL_ES(A90,D90,E90,F90,$A$2:$A$251,$C$2:$C$251,$K$2:$K$251,$L$2:$L$251,I90,$V$6,$AA$2,P90),"")</f>
        <v>#VALUE!</v>
      </c>
      <c r="L90" t="e">
        <f>IF(I90="No",CAL_EF(A90,D90,E90,F90,$A$2:$A$251,$C$2:$C$251,$K$2:$K$251,$L$2:$L$251,I90,$AA$2,P90),"")</f>
        <v>#VALUE!</v>
      </c>
      <c r="M90" t="e">
        <f>IF(I90="No",CAL_LS(A90,G90,$A$2:$N$251,I90,$AA$2),"")</f>
        <v>#VALUE!</v>
      </c>
      <c r="N90" t="e">
        <f>IF(I90="No",CAL_LF(A90,G90,$A$2:$N$251,I90,$W$6,$AA$2),"")</f>
        <v>#VALUE!</v>
      </c>
      <c r="O90" t="e">
        <f>IF(I90="No",CAL_TF(K90,L90,N90,C90,$AA$2),"0")</f>
        <v>#VALUE!</v>
      </c>
      <c r="P90" s="33">
        <v>0</v>
      </c>
    </row>
    <row r="91" spans="1:16" x14ac:dyDescent="0.2">
      <c r="A91" s="8" t="s">
        <v>453</v>
      </c>
      <c r="B91" s="8" t="s">
        <v>1170</v>
      </c>
      <c r="C91">
        <f>IF(ISERROR(Resource_Table!C91/(Resource_Table!E91*J91)),0,ROUNDUP(Resource_Table!C91/(Resource_Table!E91*J91),0))</f>
        <v>80</v>
      </c>
      <c r="D91" s="8" t="s">
        <v>1198</v>
      </c>
      <c r="F91">
        <v>0</v>
      </c>
      <c r="G91" t="str">
        <f t="shared" si="1"/>
        <v/>
      </c>
      <c r="H91" s="8" t="s">
        <v>1165</v>
      </c>
      <c r="I91" s="8" t="s">
        <v>72</v>
      </c>
      <c r="J91">
        <f>CAL_RESOURCE(Resource_Table!F91,PDM!S12)</f>
        <v>1</v>
      </c>
      <c r="K91" t="e">
        <f>IF(I91="No",CAL_ES(A91,D91,E91,F91,$A$2:$A$251,$C$2:$C$251,$K$2:$K$251,$L$2:$L$251,I91,$V$6,$AA$2,P91),"")</f>
        <v>#VALUE!</v>
      </c>
      <c r="L91" t="e">
        <f>IF(I91="No",CAL_EF(A91,D91,E91,F91,$A$2:$A$251,$C$2:$C$251,$K$2:$K$251,$L$2:$L$251,I91,$AA$2,P91),"")</f>
        <v>#VALUE!</v>
      </c>
      <c r="M91" t="e">
        <f>IF(I91="No",CAL_LS(A91,G91,$A$2:$N$251,I91,$AA$2),"")</f>
        <v>#VALUE!</v>
      </c>
      <c r="N91" t="e">
        <f>IF(I91="No",CAL_LF(A91,G91,$A$2:$N$251,I91,$W$6,$AA$2),"")</f>
        <v>#VALUE!</v>
      </c>
      <c r="O91" t="e">
        <f>IF(I91="No",CAL_TF(K91,L91,N91,C91,$AA$2),"0")</f>
        <v>#VALUE!</v>
      </c>
      <c r="P91" s="33">
        <v>0</v>
      </c>
    </row>
    <row r="92" spans="1:16" x14ac:dyDescent="0.2">
      <c r="A92" s="8" t="s">
        <v>455</v>
      </c>
      <c r="B92" s="8" t="s">
        <v>1172</v>
      </c>
      <c r="C92">
        <f>IF(ISERROR(Resource_Table!C92/(Resource_Table!E92*J92)),0,ROUNDUP(Resource_Table!C92/(Resource_Table!E92*J92),0))</f>
        <v>80</v>
      </c>
      <c r="D92" s="8" t="s">
        <v>1198</v>
      </c>
      <c r="F92">
        <v>0</v>
      </c>
      <c r="G92" t="str">
        <f t="shared" si="1"/>
        <v/>
      </c>
      <c r="H92" s="8" t="s">
        <v>1165</v>
      </c>
      <c r="I92" s="8" t="s">
        <v>72</v>
      </c>
      <c r="J92">
        <f>CAL_RESOURCE(Resource_Table!F92,PDM!S12)</f>
        <v>1</v>
      </c>
      <c r="K92" t="e">
        <f>IF(I92="No",CAL_ES(A92,D92,E92,F92,$A$2:$A$251,$C$2:$C$251,$K$2:$K$251,$L$2:$L$251,I92,$V$6,$AA$2,P92),"")</f>
        <v>#VALUE!</v>
      </c>
      <c r="L92" t="e">
        <f>IF(I92="No",CAL_EF(A92,D92,E92,F92,$A$2:$A$251,$C$2:$C$251,$K$2:$K$251,$L$2:$L$251,I92,$AA$2,P92),"")</f>
        <v>#VALUE!</v>
      </c>
      <c r="M92" t="e">
        <f>IF(I92="No",CAL_LS(A92,G92,$A$2:$N$251,I92,$AA$2),"")</f>
        <v>#VALUE!</v>
      </c>
      <c r="N92" t="e">
        <f>IF(I92="No",CAL_LF(A92,G92,$A$2:$N$251,I92,$W$6,$AA$2),"")</f>
        <v>#VALUE!</v>
      </c>
      <c r="O92" t="e">
        <f>IF(I92="No",CAL_TF(K92,L92,N92,C92,$AA$2),"0")</f>
        <v>#VALUE!</v>
      </c>
      <c r="P92" s="33">
        <v>0</v>
      </c>
    </row>
    <row r="93" spans="1:16" x14ac:dyDescent="0.2">
      <c r="A93" s="8" t="s">
        <v>457</v>
      </c>
      <c r="B93" s="8" t="s">
        <v>1201</v>
      </c>
      <c r="C93">
        <f>IF(ISERROR(Resource_Table!C93/(Resource_Table!E93*J93)),0,ROUNDUP(Resource_Table!C93/(Resource_Table!E93*J93),0))</f>
        <v>180</v>
      </c>
      <c r="D93" s="8" t="s">
        <v>461</v>
      </c>
      <c r="F93">
        <v>0</v>
      </c>
      <c r="G93" t="str">
        <f t="shared" si="1"/>
        <v>89SS+30 days,90SS+30 days,91SS+30 days,94,213FS-15 days,218FS-30 days,223FS-15 days,229FS-15 days,243FS-7 days,249FS-7 days</v>
      </c>
      <c r="H93" s="8" t="s">
        <v>1134</v>
      </c>
      <c r="I93" s="8" t="s">
        <v>72</v>
      </c>
      <c r="J93">
        <f>CAL_RESOURCE(Resource_Table!F93,PDM!S10)</f>
        <v>2</v>
      </c>
      <c r="K93" t="e">
        <f>IF(I93="No",CAL_ES(A93,D93,E93,F93,$A$2:$A$251,$C$2:$C$251,$K$2:$K$251,$L$2:$L$251,I93,$V$6,$AA$2,P93),"")</f>
        <v>#VALUE!</v>
      </c>
      <c r="L93" t="e">
        <f>IF(I93="No",CAL_EF(A93,D93,E93,F93,$A$2:$A$251,$C$2:$C$251,$K$2:$K$251,$L$2:$L$251,I93,$AA$2,P93),"")</f>
        <v>#VALUE!</v>
      </c>
      <c r="M93" t="e">
        <f>IF(I93="No",CAL_LS(A93,G93,$A$2:$N$251,I93,$AA$2),"")</f>
        <v>#VALUE!</v>
      </c>
      <c r="N93" t="e">
        <f>IF(I93="No",CAL_LF(A93,G93,$A$2:$N$251,I93,$W$6,$AA$2),"")</f>
        <v>#VALUE!</v>
      </c>
      <c r="O93" t="e">
        <f>IF(I93="No",CAL_TF(K93,L93,N93,C93,$AA$2),"0")</f>
        <v>#VALUE!</v>
      </c>
      <c r="P93" s="33">
        <v>0</v>
      </c>
    </row>
    <row r="94" spans="1:16" x14ac:dyDescent="0.2">
      <c r="A94" s="8" t="s">
        <v>464</v>
      </c>
      <c r="B94" s="8" t="s">
        <v>1203</v>
      </c>
      <c r="C94" s="6" t="s">
        <v>1033</v>
      </c>
      <c r="D94" s="8"/>
      <c r="F94">
        <v>0</v>
      </c>
      <c r="G94" t="str">
        <f t="shared" si="1"/>
        <v/>
      </c>
      <c r="H94" s="8"/>
      <c r="I94" s="8" t="s">
        <v>47</v>
      </c>
      <c r="J94" s="6"/>
      <c r="K94" t="str">
        <f>IF(I94="No",CAL_ES(A94,D94,E94,F94,$A$2:$A$251,$C$2:$C$251,$K$2:$K$251,$L$2:$L$251,I94,$V$6,$AA$2,P94),"")</f>
        <v/>
      </c>
      <c r="L94" t="str">
        <f>IF(I94="No",CAL_EF(A94,D94,E94,F94,$A$2:$A$251,$C$2:$C$251,$K$2:$K$251,$L$2:$L$251,I94,$AA$2,P94),"")</f>
        <v/>
      </c>
      <c r="M94" t="str">
        <f>IF(I94="No",CAL_LS(A94,G94,$A$2:$N$251,I94,$AA$2),"")</f>
        <v/>
      </c>
      <c r="N94" t="str">
        <f>IF(I94="No",CAL_LF(A94,G94,$A$2:$N$251,I94,$W$6,$AA$2),"")</f>
        <v/>
      </c>
      <c r="O94" t="str">
        <f>IF(I94="No",CAL_TF(K94,L94,N94,C94,$AA$2),"0")</f>
        <v>0</v>
      </c>
      <c r="P94" s="33">
        <v>0</v>
      </c>
    </row>
    <row r="95" spans="1:16" x14ac:dyDescent="0.2">
      <c r="A95" s="8" t="s">
        <v>470</v>
      </c>
      <c r="B95" s="8" t="s">
        <v>1205</v>
      </c>
      <c r="C95">
        <f>IF(ISERROR(Resource_Table!C95/(Resource_Table!E95*J95)),0,ROUNDUP(Resource_Table!C95/(Resource_Table!E95*J95),0))</f>
        <v>30</v>
      </c>
      <c r="D95" s="8" t="s">
        <v>457</v>
      </c>
      <c r="F95">
        <v>0</v>
      </c>
      <c r="G95" t="str">
        <f t="shared" si="1"/>
        <v>97FS+45 days,98FS+45 days,121SS</v>
      </c>
      <c r="H95" s="8" t="s">
        <v>1129</v>
      </c>
      <c r="I95" s="8" t="s">
        <v>72</v>
      </c>
      <c r="J95">
        <f>CAL_RESOURCE(Resource_Table!F95,PDM!S9)</f>
        <v>16</v>
      </c>
      <c r="K95" t="e">
        <f>IF(I95="No",CAL_ES(A95,D95,E95,F95,$A$2:$A$251,$C$2:$C$251,$K$2:$K$251,$L$2:$L$251,I95,$V$6,$AA$2,P95),"")</f>
        <v>#VALUE!</v>
      </c>
      <c r="L95" t="e">
        <f>IF(I95="No",CAL_EF(A95,D95,E95,F95,$A$2:$A$251,$C$2:$C$251,$K$2:$K$251,$L$2:$L$251,I95,$AA$2,P95),"")</f>
        <v>#VALUE!</v>
      </c>
      <c r="M95" t="e">
        <f>IF(I95="No",CAL_LS(A95,G95,$A$2:$N$251,I95,$AA$2),"")</f>
        <v>#VALUE!</v>
      </c>
      <c r="N95" t="e">
        <f>IF(I95="No",CAL_LF(A95,G95,$A$2:$N$251,I95,$W$6,$AA$2),"")</f>
        <v>#VALUE!</v>
      </c>
      <c r="O95" t="e">
        <f>IF(I95="No",CAL_TF(K95,L95,N95,C95,$AA$2),"0")</f>
        <v>#VALUE!</v>
      </c>
      <c r="P95" s="33">
        <v>0</v>
      </c>
    </row>
    <row r="96" spans="1:16" x14ac:dyDescent="0.2">
      <c r="A96" s="8" t="s">
        <v>477</v>
      </c>
      <c r="B96" s="8" t="s">
        <v>1207</v>
      </c>
      <c r="C96" s="6" t="s">
        <v>1033</v>
      </c>
      <c r="D96" s="8"/>
      <c r="F96">
        <v>0</v>
      </c>
      <c r="G96" t="str">
        <f t="shared" si="1"/>
        <v/>
      </c>
      <c r="H96" s="8"/>
      <c r="I96" s="8" t="s">
        <v>47</v>
      </c>
      <c r="J96" s="6"/>
      <c r="K96" t="str">
        <f>IF(I96="No",CAL_ES(A96,D96,E96,F96,$A$2:$A$251,$C$2:$C$251,$K$2:$K$251,$L$2:$L$251,I96,$V$6,$AA$2,P96),"")</f>
        <v/>
      </c>
      <c r="L96" t="str">
        <f>IF(I96="No",CAL_EF(A96,D96,E96,F96,$A$2:$A$251,$C$2:$C$251,$K$2:$K$251,$L$2:$L$251,I96,$AA$2,P96),"")</f>
        <v/>
      </c>
      <c r="M96" t="str">
        <f>IF(I96="No",CAL_LS(A96,G96,$A$2:$N$251,I96,$AA$2),"")</f>
        <v/>
      </c>
      <c r="N96" t="str">
        <f>IF(I96="No",CAL_LF(A96,G96,$A$2:$N$251,I96,$W$6,$AA$2),"")</f>
        <v/>
      </c>
      <c r="O96" t="str">
        <f>IF(I96="No",CAL_TF(K96,L96,N96,C96,$AA$2),"0")</f>
        <v>0</v>
      </c>
      <c r="P96" s="33">
        <v>0</v>
      </c>
    </row>
    <row r="97" spans="1:16" x14ac:dyDescent="0.2">
      <c r="A97" s="8" t="s">
        <v>483</v>
      </c>
      <c r="B97" s="8" t="s">
        <v>1132</v>
      </c>
      <c r="C97">
        <f>IF(ISERROR(Resource_Table!C97/(Resource_Table!E97*J97)),0,ROUNDUP(Resource_Table!C97/(Resource_Table!E97*J97),0))</f>
        <v>30</v>
      </c>
      <c r="D97" s="8" t="s">
        <v>485</v>
      </c>
      <c r="F97">
        <v>0</v>
      </c>
      <c r="G97" t="str">
        <f t="shared" si="1"/>
        <v/>
      </c>
      <c r="H97" s="8" t="s">
        <v>1134</v>
      </c>
      <c r="I97" s="8" t="s">
        <v>72</v>
      </c>
      <c r="J97">
        <f>CAL_RESOURCE(Resource_Table!F97,PDM!S10)</f>
        <v>6</v>
      </c>
      <c r="K97" t="e">
        <f>IF(I97="No",CAL_ES(A97,D97,E97,F97,$A$2:$A$251,$C$2:$C$251,$K$2:$K$251,$L$2:$L$251,I97,$V$6,$AA$2,P97),"")</f>
        <v>#VALUE!</v>
      </c>
      <c r="L97" t="e">
        <f>IF(I97="No",CAL_EF(A97,D97,E97,F97,$A$2:$A$251,$C$2:$C$251,$K$2:$K$251,$L$2:$L$251,I97,$AA$2,P97),"")</f>
        <v>#VALUE!</v>
      </c>
      <c r="M97" t="e">
        <f>IF(I97="No",CAL_LS(A97,G97,$A$2:$N$251,I97,$AA$2),"")</f>
        <v>#VALUE!</v>
      </c>
      <c r="N97" t="e">
        <f>IF(I97="No",CAL_LF(A97,G97,$A$2:$N$251,I97,$W$6,$AA$2),"")</f>
        <v>#VALUE!</v>
      </c>
      <c r="O97" t="e">
        <f>IF(I97="No",CAL_TF(K97,L97,N97,C97,$AA$2),"0")</f>
        <v>#VALUE!</v>
      </c>
      <c r="P97" s="33">
        <v>0</v>
      </c>
    </row>
    <row r="98" spans="1:16" x14ac:dyDescent="0.2">
      <c r="A98" s="8" t="s">
        <v>488</v>
      </c>
      <c r="B98" s="8" t="s">
        <v>1135</v>
      </c>
      <c r="C98">
        <f>IF(ISERROR(Resource_Table!C98/(Resource_Table!E98*J98)),0,ROUNDUP(Resource_Table!C98/(Resource_Table!E98*J98),0))</f>
        <v>60</v>
      </c>
      <c r="D98" s="8" t="s">
        <v>1209</v>
      </c>
      <c r="F98">
        <v>0</v>
      </c>
      <c r="G98" t="str">
        <f t="shared" si="1"/>
        <v>96,101</v>
      </c>
      <c r="H98" s="8" t="s">
        <v>1129</v>
      </c>
      <c r="I98" s="8" t="s">
        <v>72</v>
      </c>
      <c r="J98">
        <f>CAL_RESOURCE(Resource_Table!F98,PDM!S9)</f>
        <v>4</v>
      </c>
      <c r="K98" t="e">
        <f>IF(I98="No",CAL_ES(A98,D98,E98,F98,$A$2:$A$251,$C$2:$C$251,$K$2:$K$251,$L$2:$L$251,I98,$V$6,$AA$2,P98),"")</f>
        <v>#VALUE!</v>
      </c>
      <c r="L98" t="e">
        <f>IF(I98="No",CAL_EF(A98,D98,E98,F98,$A$2:$A$251,$C$2:$C$251,$K$2:$K$251,$L$2:$L$251,I98,$AA$2,P98),"")</f>
        <v>#VALUE!</v>
      </c>
      <c r="M98" t="e">
        <f>IF(I98="No",CAL_LS(A98,G98,$A$2:$N$251,I98,$AA$2),"")</f>
        <v>#VALUE!</v>
      </c>
      <c r="N98" t="e">
        <f>IF(I98="No",CAL_LF(A98,G98,$A$2:$N$251,I98,$W$6,$AA$2),"")</f>
        <v>#VALUE!</v>
      </c>
      <c r="O98" t="e">
        <f>IF(I98="No",CAL_TF(K98,L98,N98,C98,$AA$2),"0")</f>
        <v>#VALUE!</v>
      </c>
      <c r="P98" s="33">
        <v>0</v>
      </c>
    </row>
    <row r="99" spans="1:16" x14ac:dyDescent="0.2">
      <c r="A99" s="8" t="s">
        <v>495</v>
      </c>
      <c r="B99" s="8" t="s">
        <v>1137</v>
      </c>
      <c r="C99">
        <f>IF(ISERROR(Resource_Table!C99/(Resource_Table!E99*J99)),0,ROUNDUP(Resource_Table!C99/(Resource_Table!E99*J99),0))</f>
        <v>30</v>
      </c>
      <c r="D99" s="8" t="s">
        <v>1209</v>
      </c>
      <c r="F99">
        <v>0</v>
      </c>
      <c r="G99" t="str">
        <f t="shared" si="1"/>
        <v>99,100</v>
      </c>
      <c r="H99" s="8" t="s">
        <v>1129</v>
      </c>
      <c r="I99" s="8" t="s">
        <v>72</v>
      </c>
      <c r="J99">
        <f>CAL_RESOURCE(Resource_Table!F99,PDM!S9)</f>
        <v>8</v>
      </c>
      <c r="K99" t="e">
        <f>IF(I99="No",CAL_ES(A99,D99,E99,F99,$A$2:$A$251,$C$2:$C$251,$K$2:$K$251,$L$2:$L$251,I99,$V$6,$AA$2,P99),"")</f>
        <v>#VALUE!</v>
      </c>
      <c r="L99" t="e">
        <f>IF(I99="No",CAL_EF(A99,D99,E99,F99,$A$2:$A$251,$C$2:$C$251,$K$2:$K$251,$L$2:$L$251,I99,$AA$2,P99),"")</f>
        <v>#VALUE!</v>
      </c>
      <c r="M99" t="e">
        <f>IF(I99="No",CAL_LS(A99,G99,$A$2:$N$251,I99,$AA$2),"")</f>
        <v>#VALUE!</v>
      </c>
      <c r="N99" t="e">
        <f>IF(I99="No",CAL_LF(A99,G99,$A$2:$N$251,I99,$W$6,$AA$2),"")</f>
        <v>#VALUE!</v>
      </c>
      <c r="O99" t="e">
        <f>IF(I99="No",CAL_TF(K99,L99,N99,C99,$AA$2),"0")</f>
        <v>#VALUE!</v>
      </c>
      <c r="P99" s="33">
        <v>0</v>
      </c>
    </row>
    <row r="100" spans="1:16" x14ac:dyDescent="0.2">
      <c r="A100" s="8" t="s">
        <v>500</v>
      </c>
      <c r="B100" s="8" t="s">
        <v>1138</v>
      </c>
      <c r="C100">
        <f>IF(ISERROR(Resource_Table!C100/(Resource_Table!E100*J100)),0,ROUNDUP(Resource_Table!C100/(Resource_Table!E100*J100),0))</f>
        <v>30</v>
      </c>
      <c r="D100" s="8" t="s">
        <v>495</v>
      </c>
      <c r="F100">
        <v>0</v>
      </c>
      <c r="G100" t="str">
        <f t="shared" si="1"/>
        <v>96,101</v>
      </c>
      <c r="H100" s="8" t="s">
        <v>1134</v>
      </c>
      <c r="I100" s="8" t="s">
        <v>72</v>
      </c>
      <c r="J100">
        <f>CAL_RESOURCE(Resource_Table!F100,PDM!S10)</f>
        <v>4</v>
      </c>
      <c r="K100" t="e">
        <f>IF(I100="No",CAL_ES(A100,D100,E100,F100,$A$2:$A$251,$C$2:$C$251,$K$2:$K$251,$L$2:$L$251,I100,$V$6,$AA$2,P100),"")</f>
        <v>#VALUE!</v>
      </c>
      <c r="L100" t="e">
        <f>IF(I100="No",CAL_EF(A100,D100,E100,F100,$A$2:$A$251,$C$2:$C$251,$K$2:$K$251,$L$2:$L$251,I100,$AA$2,P100),"")</f>
        <v>#VALUE!</v>
      </c>
      <c r="M100" t="e">
        <f>IF(I100="No",CAL_LS(A100,G100,$A$2:$N$251,I100,$AA$2),"")</f>
        <v>#VALUE!</v>
      </c>
      <c r="N100" t="e">
        <f>IF(I100="No",CAL_LF(A100,G100,$A$2:$N$251,I100,$W$6,$AA$2),"")</f>
        <v>#VALUE!</v>
      </c>
      <c r="O100" t="e">
        <f>IF(I100="No",CAL_TF(K100,L100,N100,C100,$AA$2),"0")</f>
        <v>#VALUE!</v>
      </c>
      <c r="P100" s="33">
        <v>0</v>
      </c>
    </row>
    <row r="101" spans="1:16" x14ac:dyDescent="0.2">
      <c r="A101" s="8" t="s">
        <v>504</v>
      </c>
      <c r="B101" s="8" t="s">
        <v>1139</v>
      </c>
      <c r="C101">
        <f>IF(ISERROR(Resource_Table!C101/(Resource_Table!E101*J101)),0,ROUNDUP(Resource_Table!C101/(Resource_Table!E101*J101),0))</f>
        <v>30</v>
      </c>
      <c r="D101" s="8" t="s">
        <v>495</v>
      </c>
      <c r="F101">
        <v>0</v>
      </c>
      <c r="G101" t="str">
        <f t="shared" si="1"/>
        <v>96,101</v>
      </c>
      <c r="H101" s="8" t="s">
        <v>1129</v>
      </c>
      <c r="I101" s="8" t="s">
        <v>72</v>
      </c>
      <c r="J101">
        <f>CAL_RESOURCE(Resource_Table!F101,PDM!S9)</f>
        <v>1</v>
      </c>
      <c r="K101" t="e">
        <f>IF(I101="No",CAL_ES(A101,D101,E101,F101,$A$2:$A$251,$C$2:$C$251,$K$2:$K$251,$L$2:$L$251,I101,$V$6,$AA$2,P101),"")</f>
        <v>#VALUE!</v>
      </c>
      <c r="L101" t="e">
        <f>IF(I101="No",CAL_EF(A101,D101,E101,F101,$A$2:$A$251,$C$2:$C$251,$K$2:$K$251,$L$2:$L$251,I101,$AA$2,P101),"")</f>
        <v>#VALUE!</v>
      </c>
      <c r="M101" t="e">
        <f>IF(I101="No",CAL_LS(A101,G101,$A$2:$N$251,I101,$AA$2),"")</f>
        <v>#VALUE!</v>
      </c>
      <c r="N101" t="e">
        <f>IF(I101="No",CAL_LF(A101,G101,$A$2:$N$251,I101,$W$6,$AA$2),"")</f>
        <v>#VALUE!</v>
      </c>
      <c r="O101" t="e">
        <f>IF(I101="No",CAL_TF(K101,L101,N101,C101,$AA$2),"0")</f>
        <v>#VALUE!</v>
      </c>
      <c r="P101" s="33">
        <v>0</v>
      </c>
    </row>
    <row r="102" spans="1:16" x14ac:dyDescent="0.2">
      <c r="A102" s="8" t="s">
        <v>506</v>
      </c>
      <c r="B102" s="8" t="s">
        <v>1140</v>
      </c>
      <c r="C102">
        <f>IF(ISERROR(Resource_Table!C102/(Resource_Table!E102*J102)),0,ROUNDUP(Resource_Table!C102/(Resource_Table!E102*J102),0))</f>
        <v>30</v>
      </c>
      <c r="D102" s="8" t="s">
        <v>485</v>
      </c>
      <c r="F102">
        <v>0</v>
      </c>
      <c r="G102" t="str">
        <f t="shared" si="1"/>
        <v/>
      </c>
      <c r="H102" s="8" t="s">
        <v>1129</v>
      </c>
      <c r="I102" s="8" t="s">
        <v>72</v>
      </c>
      <c r="J102">
        <f>CAL_RESOURCE(Resource_Table!F102,PDM!S9)</f>
        <v>5</v>
      </c>
      <c r="K102" t="e">
        <f>IF(I102="No",CAL_ES(A102,D102,E102,F102,$A$2:$A$251,$C$2:$C$251,$K$2:$K$251,$L$2:$L$251,I102,$V$6,$AA$2,P102),"")</f>
        <v>#VALUE!</v>
      </c>
      <c r="L102" t="e">
        <f>IF(I102="No",CAL_EF(A102,D102,E102,F102,$A$2:$A$251,$C$2:$C$251,$K$2:$K$251,$L$2:$L$251,I102,$AA$2,P102),"")</f>
        <v>#VALUE!</v>
      </c>
      <c r="M102" t="e">
        <f>IF(I102="No",CAL_LS(A102,G102,$A$2:$N$251,I102,$AA$2),"")</f>
        <v>#VALUE!</v>
      </c>
      <c r="N102" t="e">
        <f>IF(I102="No",CAL_LF(A102,G102,$A$2:$N$251,I102,$W$6,$AA$2),"")</f>
        <v>#VALUE!</v>
      </c>
      <c r="O102" t="e">
        <f>IF(I102="No",CAL_TF(K102,L102,N102,C102,$AA$2),"0")</f>
        <v>#VALUE!</v>
      </c>
      <c r="P102" s="33">
        <v>0</v>
      </c>
    </row>
    <row r="103" spans="1:16" x14ac:dyDescent="0.2">
      <c r="A103" s="8" t="s">
        <v>508</v>
      </c>
      <c r="B103" s="8" t="s">
        <v>1141</v>
      </c>
      <c r="C103" s="6" t="s">
        <v>1033</v>
      </c>
      <c r="D103" s="8"/>
      <c r="F103">
        <v>0</v>
      </c>
      <c r="G103" t="str">
        <f t="shared" si="1"/>
        <v/>
      </c>
      <c r="H103" s="8"/>
      <c r="I103" s="8" t="s">
        <v>47</v>
      </c>
      <c r="J103" s="6"/>
      <c r="K103" t="str">
        <f>IF(I103="No",CAL_ES(A103,D103,E103,F103,$A$2:$A$251,$C$2:$C$251,$K$2:$K$251,$L$2:$L$251,I103,$V$6,$AA$2,P103),"")</f>
        <v/>
      </c>
      <c r="L103" t="str">
        <f>IF(I103="No",CAL_EF(A103,D103,E103,F103,$A$2:$A$251,$C$2:$C$251,$K$2:$K$251,$L$2:$L$251,I103,$AA$2,P103),"")</f>
        <v/>
      </c>
      <c r="M103" t="str">
        <f>IF(I103="No",CAL_LS(A103,G103,$A$2:$N$251,I103,$AA$2),"")</f>
        <v/>
      </c>
      <c r="N103" t="str">
        <f>IF(I103="No",CAL_LF(A103,G103,$A$2:$N$251,I103,$W$6,$AA$2),"")</f>
        <v/>
      </c>
      <c r="O103" t="str">
        <f>IF(I103="No",CAL_TF(K103,L103,N103,C103,$AA$2),"0")</f>
        <v>0</v>
      </c>
      <c r="P103" s="33">
        <v>0</v>
      </c>
    </row>
    <row r="104" spans="1:16" x14ac:dyDescent="0.2">
      <c r="A104" s="8" t="s">
        <v>510</v>
      </c>
      <c r="B104" s="8" t="s">
        <v>1142</v>
      </c>
      <c r="C104">
        <f>IF(ISERROR(Resource_Table!C104/(Resource_Table!E104*J104)),0,ROUNDUP(Resource_Table!C104/(Resource_Table!E104*J104),0))</f>
        <v>15</v>
      </c>
      <c r="D104" s="8" t="s">
        <v>1210</v>
      </c>
      <c r="F104">
        <v>0</v>
      </c>
      <c r="G104" t="str">
        <f t="shared" si="1"/>
        <v>105FS+135 days</v>
      </c>
      <c r="H104" s="8" t="s">
        <v>1145</v>
      </c>
      <c r="I104" s="8" t="s">
        <v>72</v>
      </c>
      <c r="J104">
        <f>CAL_RESOURCE(Resource_Table!F104,PDM!S11)</f>
        <v>2</v>
      </c>
      <c r="K104" t="e">
        <f>IF(I104="No",CAL_ES(A104,D104,E104,F104,$A$2:$A$251,$C$2:$C$251,$K$2:$K$251,$L$2:$L$251,I104,$V$6,$AA$2,P104),"")</f>
        <v>#VALUE!</v>
      </c>
      <c r="L104" t="e">
        <f>IF(I104="No",CAL_EF(A104,D104,E104,F104,$A$2:$A$251,$C$2:$C$251,$K$2:$K$251,$L$2:$L$251,I104,$AA$2,P104),"")</f>
        <v>#VALUE!</v>
      </c>
      <c r="M104" t="e">
        <f>IF(I104="No",CAL_LS(A104,G104,$A$2:$N$251,I104,$AA$2),"")</f>
        <v>#VALUE!</v>
      </c>
      <c r="N104" t="e">
        <f>IF(I104="No",CAL_LF(A104,G104,$A$2:$N$251,I104,$W$6,$AA$2),"")</f>
        <v>#VALUE!</v>
      </c>
      <c r="O104" t="e">
        <f>IF(I104="No",CAL_TF(K104,L104,N104,C104,$AA$2),"0")</f>
        <v>#VALUE!</v>
      </c>
      <c r="P104" s="33">
        <v>0</v>
      </c>
    </row>
    <row r="105" spans="1:16" x14ac:dyDescent="0.2">
      <c r="A105" s="8" t="s">
        <v>512</v>
      </c>
      <c r="B105" s="8" t="s">
        <v>1146</v>
      </c>
      <c r="C105">
        <f>IF(ISERROR(Resource_Table!C105/(Resource_Table!E105*J105)),0,ROUNDUP(Resource_Table!C105/(Resource_Table!E105*J105),0))</f>
        <v>15</v>
      </c>
      <c r="D105" s="8" t="s">
        <v>514</v>
      </c>
      <c r="F105">
        <v>0</v>
      </c>
      <c r="G105" t="str">
        <f t="shared" si="1"/>
        <v>103FS+135 days</v>
      </c>
      <c r="H105" s="8" t="s">
        <v>1145</v>
      </c>
      <c r="I105" s="8" t="s">
        <v>72</v>
      </c>
      <c r="J105">
        <f>CAL_RESOURCE(Resource_Table!F105,PDM!S11)</f>
        <v>2</v>
      </c>
      <c r="K105" t="e">
        <f>IF(I105="No",CAL_ES(A105,D105,E105,F105,$A$2:$A$251,$C$2:$C$251,$K$2:$K$251,$L$2:$L$251,I105,$V$6,$AA$2,P105),"")</f>
        <v>#VALUE!</v>
      </c>
      <c r="L105" t="e">
        <f>IF(I105="No",CAL_EF(A105,D105,E105,F105,$A$2:$A$251,$C$2:$C$251,$K$2:$K$251,$L$2:$L$251,I105,$AA$2,P105),"")</f>
        <v>#VALUE!</v>
      </c>
      <c r="M105" t="e">
        <f>IF(I105="No",CAL_LS(A105,G105,$A$2:$N$251,I105,$AA$2),"")</f>
        <v>#VALUE!</v>
      </c>
      <c r="N105" t="e">
        <f>IF(I105="No",CAL_LF(A105,G105,$A$2:$N$251,I105,$W$6,$AA$2),"")</f>
        <v>#VALUE!</v>
      </c>
      <c r="O105" t="e">
        <f>IF(I105="No",CAL_TF(K105,L105,N105,C105,$AA$2),"0")</f>
        <v>#VALUE!</v>
      </c>
      <c r="P105" s="33">
        <v>0</v>
      </c>
    </row>
    <row r="106" spans="1:16" x14ac:dyDescent="0.2">
      <c r="A106" s="8" t="s">
        <v>515</v>
      </c>
      <c r="B106" s="8" t="s">
        <v>1148</v>
      </c>
      <c r="C106">
        <f>IF(ISERROR(Resource_Table!C106/(Resource_Table!E106*J106)),0,ROUNDUP(Resource_Table!C106/(Resource_Table!E106*J106),0))</f>
        <v>15</v>
      </c>
      <c r="D106" s="8" t="s">
        <v>1212</v>
      </c>
      <c r="F106">
        <v>0</v>
      </c>
      <c r="G106" t="str">
        <f t="shared" si="1"/>
        <v/>
      </c>
      <c r="H106" s="8" t="s">
        <v>1145</v>
      </c>
      <c r="I106" s="8" t="s">
        <v>72</v>
      </c>
      <c r="J106">
        <f>CAL_RESOURCE(Resource_Table!F106,PDM!S11)</f>
        <v>2</v>
      </c>
      <c r="K106" t="e">
        <f>IF(I106="No",CAL_ES(A106,D106,E106,F106,$A$2:$A$251,$C$2:$C$251,$K$2:$K$251,$L$2:$L$251,I106,$V$6,$AA$2,P106),"")</f>
        <v>#VALUE!</v>
      </c>
      <c r="L106" t="e">
        <f>IF(I106="No",CAL_EF(A106,D106,E106,F106,$A$2:$A$251,$C$2:$C$251,$K$2:$K$251,$L$2:$L$251,I106,$AA$2,P106),"")</f>
        <v>#VALUE!</v>
      </c>
      <c r="M106" t="e">
        <f>IF(I106="No",CAL_LS(A106,G106,$A$2:$N$251,I106,$AA$2),"")</f>
        <v>#VALUE!</v>
      </c>
      <c r="N106" t="e">
        <f>IF(I106="No",CAL_LF(A106,G106,$A$2:$N$251,I106,$W$6,$AA$2),"")</f>
        <v>#VALUE!</v>
      </c>
      <c r="O106" t="e">
        <f>IF(I106="No",CAL_TF(K106,L106,N106,C106,$AA$2),"0")</f>
        <v>#VALUE!</v>
      </c>
      <c r="P106" s="33">
        <v>0</v>
      </c>
    </row>
    <row r="107" spans="1:16" x14ac:dyDescent="0.2">
      <c r="A107" s="8" t="s">
        <v>517</v>
      </c>
      <c r="B107" s="8" t="s">
        <v>1213</v>
      </c>
      <c r="C107" s="6" t="s">
        <v>1033</v>
      </c>
      <c r="D107" s="8"/>
      <c r="F107">
        <v>0</v>
      </c>
      <c r="G107" t="str">
        <f t="shared" si="1"/>
        <v/>
      </c>
      <c r="H107" s="8"/>
      <c r="I107" s="8" t="s">
        <v>47</v>
      </c>
      <c r="J107" s="6"/>
      <c r="K107" t="str">
        <f>IF(I107="No",CAL_ES(A107,D107,E107,F107,$A$2:$A$251,$C$2:$C$251,$K$2:$K$251,$L$2:$L$251,I107,$V$6,$AA$2,P107),"")</f>
        <v/>
      </c>
      <c r="L107" t="str">
        <f>IF(I107="No",CAL_EF(A107,D107,E107,F107,$A$2:$A$251,$C$2:$C$251,$K$2:$K$251,$L$2:$L$251,I107,$AA$2,P107),"")</f>
        <v/>
      </c>
      <c r="M107" t="str">
        <f>IF(I107="No",CAL_LS(A107,G107,$A$2:$N$251,I107,$AA$2),"")</f>
        <v/>
      </c>
      <c r="N107" t="str">
        <f>IF(I107="No",CAL_LF(A107,G107,$A$2:$N$251,I107,$W$6,$AA$2),"")</f>
        <v/>
      </c>
      <c r="O107" t="str">
        <f>IF(I107="No",CAL_TF(K107,L107,N107,C107,$AA$2),"0")</f>
        <v>0</v>
      </c>
      <c r="P107" s="33">
        <v>0</v>
      </c>
    </row>
    <row r="108" spans="1:16" x14ac:dyDescent="0.2">
      <c r="A108" s="8" t="s">
        <v>520</v>
      </c>
      <c r="B108" s="8" t="s">
        <v>1151</v>
      </c>
      <c r="C108" s="6" t="s">
        <v>1033</v>
      </c>
      <c r="D108" s="8"/>
      <c r="F108">
        <v>0</v>
      </c>
      <c r="G108" t="str">
        <f t="shared" si="1"/>
        <v/>
      </c>
      <c r="H108" s="8"/>
      <c r="I108" s="8" t="s">
        <v>47</v>
      </c>
      <c r="J108" s="6"/>
      <c r="K108" t="str">
        <f>IF(I108="No",CAL_ES(A108,D108,E108,F108,$A$2:$A$251,$C$2:$C$251,$K$2:$K$251,$L$2:$L$251,I108,$V$6,$AA$2,P108),"")</f>
        <v/>
      </c>
      <c r="L108" t="str">
        <f>IF(I108="No",CAL_EF(A108,D108,E108,F108,$A$2:$A$251,$C$2:$C$251,$K$2:$K$251,$L$2:$L$251,I108,$AA$2,P108),"")</f>
        <v/>
      </c>
      <c r="M108" t="str">
        <f>IF(I108="No",CAL_LS(A108,G108,$A$2:$N$251,I108,$AA$2),"")</f>
        <v/>
      </c>
      <c r="N108" t="str">
        <f>IF(I108="No",CAL_LF(A108,G108,$A$2:$N$251,I108,$W$6,$AA$2),"")</f>
        <v/>
      </c>
      <c r="O108" t="str">
        <f>IF(I108="No",CAL_TF(K108,L108,N108,C108,$AA$2),"0")</f>
        <v>0</v>
      </c>
      <c r="P108" s="33">
        <v>0</v>
      </c>
    </row>
    <row r="109" spans="1:16" x14ac:dyDescent="0.2">
      <c r="A109" s="8" t="s">
        <v>522</v>
      </c>
      <c r="B109" s="8" t="s">
        <v>1142</v>
      </c>
      <c r="C109">
        <f>IF(ISERROR(Resource_Table!C109/(Resource_Table!E109*J109)),0,ROUNDUP(Resource_Table!C109/(Resource_Table!E109*J109),0))</f>
        <v>126</v>
      </c>
      <c r="D109" s="8" t="s">
        <v>1214</v>
      </c>
      <c r="F109">
        <v>0</v>
      </c>
      <c r="G109" t="str">
        <f t="shared" si="1"/>
        <v>110FS+15 days</v>
      </c>
      <c r="H109" s="8" t="s">
        <v>1145</v>
      </c>
      <c r="I109" s="8" t="s">
        <v>72</v>
      </c>
      <c r="J109">
        <f>CAL_RESOURCE(Resource_Table!F109,PDM!S11)</f>
        <v>1</v>
      </c>
      <c r="K109" t="e">
        <f>IF(I109="No",CAL_ES(A109,D109,E109,F109,$A$2:$A$251,$C$2:$C$251,$K$2:$K$251,$L$2:$L$251,I109,$V$6,$AA$2,P109),"")</f>
        <v>#VALUE!</v>
      </c>
      <c r="L109" t="e">
        <f>IF(I109="No",CAL_EF(A109,D109,E109,F109,$A$2:$A$251,$C$2:$C$251,$K$2:$K$251,$L$2:$L$251,I109,$AA$2,P109),"")</f>
        <v>#VALUE!</v>
      </c>
      <c r="M109" t="e">
        <f>IF(I109="No",CAL_LS(A109,G109,$A$2:$N$251,I109,$AA$2),"")</f>
        <v>#VALUE!</v>
      </c>
      <c r="N109" t="e">
        <f>IF(I109="No",CAL_LF(A109,G109,$A$2:$N$251,I109,$W$6,$AA$2),"")</f>
        <v>#VALUE!</v>
      </c>
      <c r="O109" t="e">
        <f>IF(I109="No",CAL_TF(K109,L109,N109,C109,$AA$2),"0")</f>
        <v>#VALUE!</v>
      </c>
      <c r="P109" s="33">
        <v>0</v>
      </c>
    </row>
    <row r="110" spans="1:16" x14ac:dyDescent="0.2">
      <c r="A110" s="8" t="s">
        <v>524</v>
      </c>
      <c r="B110" s="8" t="s">
        <v>1146</v>
      </c>
      <c r="C110">
        <f>IF(ISERROR(Resource_Table!C110/(Resource_Table!E110*J110)),0,ROUNDUP(Resource_Table!C110/(Resource_Table!E110*J110),0))</f>
        <v>126</v>
      </c>
      <c r="D110" s="8" t="s">
        <v>219</v>
      </c>
      <c r="F110">
        <v>0</v>
      </c>
      <c r="G110" t="str">
        <f t="shared" si="1"/>
        <v>104,108FS+15 days,113SS</v>
      </c>
      <c r="H110" s="8" t="s">
        <v>1145</v>
      </c>
      <c r="I110" s="8" t="s">
        <v>72</v>
      </c>
      <c r="J110">
        <f>CAL_RESOURCE(Resource_Table!F110,PDM!S11)</f>
        <v>1</v>
      </c>
      <c r="K110" t="e">
        <f>IF(I110="No",CAL_ES(A110,D110,E110,F110,$A$2:$A$251,$C$2:$C$251,$K$2:$K$251,$L$2:$L$251,I110,$V$6,$AA$2,P110),"")</f>
        <v>#VALUE!</v>
      </c>
      <c r="L110" t="e">
        <f>IF(I110="No",CAL_EF(A110,D110,E110,F110,$A$2:$A$251,$C$2:$C$251,$K$2:$K$251,$L$2:$L$251,I110,$AA$2,P110),"")</f>
        <v>#VALUE!</v>
      </c>
      <c r="M110" t="e">
        <f>IF(I110="No",CAL_LS(A110,G110,$A$2:$N$251,I110,$AA$2),"")</f>
        <v>#VALUE!</v>
      </c>
      <c r="N110" t="e">
        <f>IF(I110="No",CAL_LF(A110,G110,$A$2:$N$251,I110,$W$6,$AA$2),"")</f>
        <v>#VALUE!</v>
      </c>
      <c r="O110" t="e">
        <f>IF(I110="No",CAL_TF(K110,L110,N110,C110,$AA$2),"0")</f>
        <v>#VALUE!</v>
      </c>
      <c r="P110" s="33">
        <v>0</v>
      </c>
    </row>
    <row r="111" spans="1:16" x14ac:dyDescent="0.2">
      <c r="A111" s="8" t="s">
        <v>526</v>
      </c>
      <c r="B111" s="8" t="s">
        <v>1148</v>
      </c>
      <c r="C111">
        <f>IF(ISERROR(Resource_Table!C111/(Resource_Table!E111*J111)),0,ROUNDUP(Resource_Table!C111/(Resource_Table!E111*J111),0))</f>
        <v>126</v>
      </c>
      <c r="D111" s="8" t="s">
        <v>1217</v>
      </c>
      <c r="F111">
        <v>0</v>
      </c>
      <c r="G111" t="str">
        <f t="shared" si="1"/>
        <v/>
      </c>
      <c r="H111" s="8" t="s">
        <v>1145</v>
      </c>
      <c r="I111" s="8" t="s">
        <v>72</v>
      </c>
      <c r="J111">
        <f>CAL_RESOURCE(Resource_Table!F111,PDM!S11)</f>
        <v>1</v>
      </c>
      <c r="K111" t="e">
        <f>IF(I111="No",CAL_ES(A111,D111,E111,F111,$A$2:$A$251,$C$2:$C$251,$K$2:$K$251,$L$2:$L$251,I111,$V$6,$AA$2,P111),"")</f>
        <v>#VALUE!</v>
      </c>
      <c r="L111" t="e">
        <f>IF(I111="No",CAL_EF(A111,D111,E111,F111,$A$2:$A$251,$C$2:$C$251,$K$2:$K$251,$L$2:$L$251,I111,$AA$2,P111),"")</f>
        <v>#VALUE!</v>
      </c>
      <c r="M111" t="e">
        <f>IF(I111="No",CAL_LS(A111,G111,$A$2:$N$251,I111,$AA$2),"")</f>
        <v>#VALUE!</v>
      </c>
      <c r="N111" t="e">
        <f>IF(I111="No",CAL_LF(A111,G111,$A$2:$N$251,I111,$W$6,$AA$2),"")</f>
        <v>#VALUE!</v>
      </c>
      <c r="O111" t="e">
        <f>IF(I111="No",CAL_TF(K111,L111,N111,C111,$AA$2),"0")</f>
        <v>#VALUE!</v>
      </c>
      <c r="P111" s="33">
        <v>0</v>
      </c>
    </row>
    <row r="112" spans="1:16" x14ac:dyDescent="0.2">
      <c r="A112" s="8" t="s">
        <v>528</v>
      </c>
      <c r="B112" s="8" t="s">
        <v>1156</v>
      </c>
      <c r="C112" s="6" t="s">
        <v>1033</v>
      </c>
      <c r="D112" s="8"/>
      <c r="F112">
        <v>0</v>
      </c>
      <c r="G112" t="str">
        <f t="shared" si="1"/>
        <v/>
      </c>
      <c r="H112" s="8"/>
      <c r="I112" s="8" t="s">
        <v>47</v>
      </c>
      <c r="J112" s="6"/>
      <c r="K112" t="str">
        <f>IF(I112="No",CAL_ES(A112,D112,E112,F112,$A$2:$A$251,$C$2:$C$251,$K$2:$K$251,$L$2:$L$251,I112,$V$6,$AA$2,P112),"")</f>
        <v/>
      </c>
      <c r="L112" t="str">
        <f>IF(I112="No",CAL_EF(A112,D112,E112,F112,$A$2:$A$251,$C$2:$C$251,$K$2:$K$251,$L$2:$L$251,I112,$AA$2,P112),"")</f>
        <v/>
      </c>
      <c r="M112" t="str">
        <f>IF(I112="No",CAL_LS(A112,G112,$A$2:$N$251,I112,$AA$2),"")</f>
        <v/>
      </c>
      <c r="N112" t="str">
        <f>IF(I112="No",CAL_LF(A112,G112,$A$2:$N$251,I112,$W$6,$AA$2),"")</f>
        <v/>
      </c>
      <c r="O112" t="str">
        <f>IF(I112="No",CAL_TF(K112,L112,N112,C112,$AA$2),"0")</f>
        <v>0</v>
      </c>
      <c r="P112" s="33">
        <v>0</v>
      </c>
    </row>
    <row r="113" spans="1:16" x14ac:dyDescent="0.2">
      <c r="A113" s="8" t="s">
        <v>531</v>
      </c>
      <c r="B113" s="8" t="s">
        <v>1142</v>
      </c>
      <c r="C113">
        <f>IF(ISERROR(Resource_Table!C113/(Resource_Table!E113*J113)),0,ROUNDUP(Resource_Table!C113/(Resource_Table!E113*J113),0))</f>
        <v>126</v>
      </c>
      <c r="D113" s="8" t="s">
        <v>1218</v>
      </c>
      <c r="F113">
        <v>0</v>
      </c>
      <c r="G113" t="str">
        <f t="shared" si="1"/>
        <v>114FS+15 days</v>
      </c>
      <c r="H113" s="8" t="s">
        <v>1145</v>
      </c>
      <c r="I113" s="8" t="s">
        <v>72</v>
      </c>
      <c r="J113">
        <f>CAL_RESOURCE(Resource_Table!F113,PDM!S11)</f>
        <v>1</v>
      </c>
      <c r="K113" t="e">
        <f>IF(I113="No",CAL_ES(A113,D113,E113,F113,$A$2:$A$251,$C$2:$C$251,$K$2:$K$251,$L$2:$L$251,I113,$V$6,$AA$2,P113),"")</f>
        <v>#VALUE!</v>
      </c>
      <c r="L113" t="e">
        <f>IF(I113="No",CAL_EF(A113,D113,E113,F113,$A$2:$A$251,$C$2:$C$251,$K$2:$K$251,$L$2:$L$251,I113,$AA$2,P113),"")</f>
        <v>#VALUE!</v>
      </c>
      <c r="M113" t="e">
        <f>IF(I113="No",CAL_LS(A113,G113,$A$2:$N$251,I113,$AA$2),"")</f>
        <v>#VALUE!</v>
      </c>
      <c r="N113" t="e">
        <f>IF(I113="No",CAL_LF(A113,G113,$A$2:$N$251,I113,$W$6,$AA$2),"")</f>
        <v>#VALUE!</v>
      </c>
      <c r="O113" t="e">
        <f>IF(I113="No",CAL_TF(K113,L113,N113,C113,$AA$2),"0")</f>
        <v>#VALUE!</v>
      </c>
      <c r="P113" s="33">
        <v>0</v>
      </c>
    </row>
    <row r="114" spans="1:16" x14ac:dyDescent="0.2">
      <c r="A114" s="8" t="s">
        <v>533</v>
      </c>
      <c r="B114" s="8" t="s">
        <v>1146</v>
      </c>
      <c r="C114">
        <f>IF(ISERROR(Resource_Table!C114/(Resource_Table!E114*J114)),0,ROUNDUP(Resource_Table!C114/(Resource_Table!E114*J114),0))</f>
        <v>126</v>
      </c>
      <c r="D114" s="8" t="s">
        <v>535</v>
      </c>
      <c r="F114">
        <v>0</v>
      </c>
      <c r="G114" t="str">
        <f t="shared" si="1"/>
        <v>104,112FS+15 days</v>
      </c>
      <c r="H114" s="8" t="s">
        <v>1145</v>
      </c>
      <c r="I114" s="8" t="s">
        <v>72</v>
      </c>
      <c r="J114">
        <f>CAL_RESOURCE(Resource_Table!F114,PDM!S11)</f>
        <v>1</v>
      </c>
      <c r="K114" t="e">
        <f>IF(I114="No",CAL_ES(A114,D114,E114,F114,$A$2:$A$251,$C$2:$C$251,$K$2:$K$251,$L$2:$L$251,I114,$V$6,$AA$2,P114),"")</f>
        <v>#VALUE!</v>
      </c>
      <c r="L114" t="e">
        <f>IF(I114="No",CAL_EF(A114,D114,E114,F114,$A$2:$A$251,$C$2:$C$251,$K$2:$K$251,$L$2:$L$251,I114,$AA$2,P114),"")</f>
        <v>#VALUE!</v>
      </c>
      <c r="M114" t="e">
        <f>IF(I114="No",CAL_LS(A114,G114,$A$2:$N$251,I114,$AA$2),"")</f>
        <v>#VALUE!</v>
      </c>
      <c r="N114" t="e">
        <f>IF(I114="No",CAL_LF(A114,G114,$A$2:$N$251,I114,$W$6,$AA$2),"")</f>
        <v>#VALUE!</v>
      </c>
      <c r="O114" t="e">
        <f>IF(I114="No",CAL_TF(K114,L114,N114,C114,$AA$2),"0")</f>
        <v>#VALUE!</v>
      </c>
      <c r="P114" s="33">
        <v>0</v>
      </c>
    </row>
    <row r="115" spans="1:16" x14ac:dyDescent="0.2">
      <c r="A115" s="8" t="s">
        <v>536</v>
      </c>
      <c r="B115" s="8" t="s">
        <v>1148</v>
      </c>
      <c r="C115">
        <f>IF(ISERROR(Resource_Table!C115/(Resource_Table!E115*J115)),0,ROUNDUP(Resource_Table!C115/(Resource_Table!E115*J115),0))</f>
        <v>126</v>
      </c>
      <c r="D115" s="8" t="s">
        <v>1221</v>
      </c>
      <c r="F115">
        <v>0</v>
      </c>
      <c r="G115" t="str">
        <f t="shared" si="1"/>
        <v/>
      </c>
      <c r="H115" s="8" t="s">
        <v>1145</v>
      </c>
      <c r="I115" s="8" t="s">
        <v>72</v>
      </c>
      <c r="J115">
        <f>CAL_RESOURCE(Resource_Table!F115,PDM!S11)</f>
        <v>1</v>
      </c>
      <c r="K115" t="e">
        <f>IF(I115="No",CAL_ES(A115,D115,E115,F115,$A$2:$A$251,$C$2:$C$251,$K$2:$K$251,$L$2:$L$251,I115,$V$6,$AA$2,P115),"")</f>
        <v>#VALUE!</v>
      </c>
      <c r="L115" t="e">
        <f>IF(I115="No",CAL_EF(A115,D115,E115,F115,$A$2:$A$251,$C$2:$C$251,$K$2:$K$251,$L$2:$L$251,I115,$AA$2,P115),"")</f>
        <v>#VALUE!</v>
      </c>
      <c r="M115" t="e">
        <f>IF(I115="No",CAL_LS(A115,G115,$A$2:$N$251,I115,$AA$2),"")</f>
        <v>#VALUE!</v>
      </c>
      <c r="N115" t="e">
        <f>IF(I115="No",CAL_LF(A115,G115,$A$2:$N$251,I115,$W$6,$AA$2),"")</f>
        <v>#VALUE!</v>
      </c>
      <c r="O115" t="e">
        <f>IF(I115="No",CAL_TF(K115,L115,N115,C115,$AA$2),"0")</f>
        <v>#VALUE!</v>
      </c>
      <c r="P115" s="33">
        <v>0</v>
      </c>
    </row>
    <row r="116" spans="1:16" x14ac:dyDescent="0.2">
      <c r="A116" s="8" t="s">
        <v>538</v>
      </c>
      <c r="B116" s="8" t="s">
        <v>1222</v>
      </c>
      <c r="C116" s="6" t="s">
        <v>1033</v>
      </c>
      <c r="D116" s="8"/>
      <c r="F116">
        <v>0</v>
      </c>
      <c r="G116" t="str">
        <f t="shared" si="1"/>
        <v/>
      </c>
      <c r="H116" s="8"/>
      <c r="I116" s="8" t="s">
        <v>47</v>
      </c>
      <c r="J116" s="6"/>
      <c r="K116" t="str">
        <f>IF(I116="No",CAL_ES(A116,D116,E116,F116,$A$2:$A$251,$C$2:$C$251,$K$2:$K$251,$L$2:$L$251,I116,$V$6,$AA$2,P116),"")</f>
        <v/>
      </c>
      <c r="L116" t="str">
        <f>IF(I116="No",CAL_EF(A116,D116,E116,F116,$A$2:$A$251,$C$2:$C$251,$K$2:$K$251,$L$2:$L$251,I116,$AA$2,P116),"")</f>
        <v/>
      </c>
      <c r="M116" t="str">
        <f>IF(I116="No",CAL_LS(A116,G116,$A$2:$N$251,I116,$AA$2),"")</f>
        <v/>
      </c>
      <c r="N116" t="str">
        <f>IF(I116="No",CAL_LF(A116,G116,$A$2:$N$251,I116,$W$6,$AA$2),"")</f>
        <v/>
      </c>
      <c r="O116" t="str">
        <f>IF(I116="No",CAL_TF(K116,L116,N116,C116,$AA$2),"0")</f>
        <v>0</v>
      </c>
      <c r="P116" s="33">
        <v>0</v>
      </c>
    </row>
    <row r="117" spans="1:16" x14ac:dyDescent="0.2">
      <c r="A117" s="8" t="s">
        <v>545</v>
      </c>
      <c r="B117" s="8" t="s">
        <v>1163</v>
      </c>
      <c r="C117">
        <f>IF(ISERROR(Resource_Table!C117/(Resource_Table!E117*J117)),0,ROUNDUP(Resource_Table!C117/(Resource_Table!E117*J117),0))</f>
        <v>60</v>
      </c>
      <c r="D117" s="8" t="s">
        <v>1223</v>
      </c>
      <c r="F117">
        <v>0</v>
      </c>
      <c r="G117" t="str">
        <f t="shared" si="1"/>
        <v/>
      </c>
      <c r="H117" s="8" t="s">
        <v>1165</v>
      </c>
      <c r="I117" s="8" t="s">
        <v>72</v>
      </c>
      <c r="J117">
        <f>CAL_RESOURCE(Resource_Table!F117,PDM!S12)</f>
        <v>3</v>
      </c>
      <c r="K117" t="e">
        <f>IF(I117="No",CAL_ES(A117,D117,E117,F117,$A$2:$A$251,$C$2:$C$251,$K$2:$K$251,$L$2:$L$251,I117,$V$6,$AA$2,P117),"")</f>
        <v>#VALUE!</v>
      </c>
      <c r="L117" t="e">
        <f>IF(I117="No",CAL_EF(A117,D117,E117,F117,$A$2:$A$251,$C$2:$C$251,$K$2:$K$251,$L$2:$L$251,I117,$AA$2,P117),"")</f>
        <v>#VALUE!</v>
      </c>
      <c r="M117" t="e">
        <f>IF(I117="No",CAL_LS(A117,G117,$A$2:$N$251,I117,$AA$2),"")</f>
        <v>#VALUE!</v>
      </c>
      <c r="N117" t="e">
        <f>IF(I117="No",CAL_LF(A117,G117,$A$2:$N$251,I117,$W$6,$AA$2),"")</f>
        <v>#VALUE!</v>
      </c>
      <c r="O117" t="e">
        <f>IF(I117="No",CAL_TF(K117,L117,N117,C117,$AA$2),"0")</f>
        <v>#VALUE!</v>
      </c>
      <c r="P117" s="33">
        <v>0</v>
      </c>
    </row>
    <row r="118" spans="1:16" x14ac:dyDescent="0.2">
      <c r="A118" s="8" t="s">
        <v>549</v>
      </c>
      <c r="B118" s="8" t="s">
        <v>1166</v>
      </c>
      <c r="C118">
        <f>IF(ISERROR(Resource_Table!C118/(Resource_Table!E118*J118)),0,ROUNDUP(Resource_Table!C118/(Resource_Table!E118*J118),0))</f>
        <v>60</v>
      </c>
      <c r="D118" s="8" t="s">
        <v>1223</v>
      </c>
      <c r="F118">
        <v>0</v>
      </c>
      <c r="G118" t="str">
        <f t="shared" si="1"/>
        <v/>
      </c>
      <c r="H118" s="8" t="s">
        <v>1165</v>
      </c>
      <c r="I118" s="8" t="s">
        <v>72</v>
      </c>
      <c r="J118">
        <f>CAL_RESOURCE(Resource_Table!F118,PDM!S12)</f>
        <v>1</v>
      </c>
      <c r="K118" t="e">
        <f>IF(I118="No",CAL_ES(A118,D118,E118,F118,$A$2:$A$251,$C$2:$C$251,$K$2:$K$251,$L$2:$L$251,I118,$V$6,$AA$2,P118),"")</f>
        <v>#VALUE!</v>
      </c>
      <c r="L118" t="e">
        <f>IF(I118="No",CAL_EF(A118,D118,E118,F118,$A$2:$A$251,$C$2:$C$251,$K$2:$K$251,$L$2:$L$251,I118,$AA$2,P118),"")</f>
        <v>#VALUE!</v>
      </c>
      <c r="M118" t="e">
        <f>IF(I118="No",CAL_LS(A118,G118,$A$2:$N$251,I118,$AA$2),"")</f>
        <v>#VALUE!</v>
      </c>
      <c r="N118" t="e">
        <f>IF(I118="No",CAL_LF(A118,G118,$A$2:$N$251,I118,$W$6,$AA$2),"")</f>
        <v>#VALUE!</v>
      </c>
      <c r="O118" t="e">
        <f>IF(I118="No",CAL_TF(K118,L118,N118,C118,$AA$2),"0")</f>
        <v>#VALUE!</v>
      </c>
      <c r="P118" s="33">
        <v>0</v>
      </c>
    </row>
    <row r="119" spans="1:16" x14ac:dyDescent="0.2">
      <c r="A119" s="8" t="s">
        <v>551</v>
      </c>
      <c r="B119" s="8" t="s">
        <v>1167</v>
      </c>
      <c r="C119">
        <f>IF(ISERROR(Resource_Table!C119/(Resource_Table!E119*J119)),0,ROUNDUP(Resource_Table!C119/(Resource_Table!E119*J119),0))</f>
        <v>80</v>
      </c>
      <c r="D119" s="8" t="s">
        <v>1224</v>
      </c>
      <c r="F119">
        <v>0</v>
      </c>
      <c r="G119" t="str">
        <f t="shared" si="1"/>
        <v>116FS+7 days,117FS+7 days</v>
      </c>
      <c r="H119" s="8" t="s">
        <v>1165</v>
      </c>
      <c r="I119" s="8" t="s">
        <v>72</v>
      </c>
      <c r="J119">
        <f>CAL_RESOURCE(Resource_Table!F119,PDM!S12)</f>
        <v>1</v>
      </c>
      <c r="K119" t="e">
        <f>IF(I119="No",CAL_ES(A119,D119,E119,F119,$A$2:$A$251,$C$2:$C$251,$K$2:$K$251,$L$2:$L$251,I119,$V$6,$AA$2,P119),"")</f>
        <v>#VALUE!</v>
      </c>
      <c r="L119" t="e">
        <f>IF(I119="No",CAL_EF(A119,D119,E119,F119,$A$2:$A$251,$C$2:$C$251,$K$2:$K$251,$L$2:$L$251,I119,$AA$2,P119),"")</f>
        <v>#VALUE!</v>
      </c>
      <c r="M119" t="e">
        <f>IF(I119="No",CAL_LS(A119,G119,$A$2:$N$251,I119,$AA$2),"")</f>
        <v>#VALUE!</v>
      </c>
      <c r="N119" t="e">
        <f>IF(I119="No",CAL_LF(A119,G119,$A$2:$N$251,I119,$W$6,$AA$2),"")</f>
        <v>#VALUE!</v>
      </c>
      <c r="O119" t="e">
        <f>IF(I119="No",CAL_TF(K119,L119,N119,C119,$AA$2),"0")</f>
        <v>#VALUE!</v>
      </c>
      <c r="P119" s="33">
        <v>0</v>
      </c>
    </row>
    <row r="120" spans="1:16" x14ac:dyDescent="0.2">
      <c r="A120" s="8" t="s">
        <v>555</v>
      </c>
      <c r="B120" s="8" t="s">
        <v>1170</v>
      </c>
      <c r="C120">
        <f>IF(ISERROR(Resource_Table!C120/(Resource_Table!E120*J120)),0,ROUNDUP(Resource_Table!C120/(Resource_Table!E120*J120),0))</f>
        <v>80</v>
      </c>
      <c r="D120" s="8" t="s">
        <v>1224</v>
      </c>
      <c r="F120">
        <v>0</v>
      </c>
      <c r="G120" t="str">
        <f t="shared" si="1"/>
        <v/>
      </c>
      <c r="H120" s="8" t="s">
        <v>1165</v>
      </c>
      <c r="I120" s="8" t="s">
        <v>72</v>
      </c>
      <c r="J120">
        <f>CAL_RESOURCE(Resource_Table!F120,PDM!S12)</f>
        <v>2</v>
      </c>
      <c r="K120" t="e">
        <f>IF(I120="No",CAL_ES(A120,D120,E120,F120,$A$2:$A$251,$C$2:$C$251,$K$2:$K$251,$L$2:$L$251,I120,$V$6,$AA$2,P120),"")</f>
        <v>#VALUE!</v>
      </c>
      <c r="L120" t="e">
        <f>IF(I120="No",CAL_EF(A120,D120,E120,F120,$A$2:$A$251,$C$2:$C$251,$K$2:$K$251,$L$2:$L$251,I120,$AA$2,P120),"")</f>
        <v>#VALUE!</v>
      </c>
      <c r="M120" t="e">
        <f>IF(I120="No",CAL_LS(A120,G120,$A$2:$N$251,I120,$AA$2),"")</f>
        <v>#VALUE!</v>
      </c>
      <c r="N120" t="e">
        <f>IF(I120="No",CAL_LF(A120,G120,$A$2:$N$251,I120,$W$6,$AA$2),"")</f>
        <v>#VALUE!</v>
      </c>
      <c r="O120" t="e">
        <f>IF(I120="No",CAL_TF(K120,L120,N120,C120,$AA$2),"0")</f>
        <v>#VALUE!</v>
      </c>
      <c r="P120" s="33">
        <v>0</v>
      </c>
    </row>
    <row r="121" spans="1:16" x14ac:dyDescent="0.2">
      <c r="A121" s="8" t="s">
        <v>557</v>
      </c>
      <c r="B121" s="8" t="s">
        <v>1172</v>
      </c>
      <c r="C121">
        <f>IF(ISERROR(Resource_Table!C121/(Resource_Table!E121*J121)),0,ROUNDUP(Resource_Table!C121/(Resource_Table!E121*J121),0))</f>
        <v>80</v>
      </c>
      <c r="D121" s="8" t="s">
        <v>1224</v>
      </c>
      <c r="F121">
        <v>0</v>
      </c>
      <c r="G121" t="str">
        <f t="shared" si="1"/>
        <v/>
      </c>
      <c r="H121" s="8" t="s">
        <v>1165</v>
      </c>
      <c r="I121" s="8" t="s">
        <v>72</v>
      </c>
      <c r="J121">
        <f>CAL_RESOURCE(Resource_Table!F121,PDM!S12)</f>
        <v>1</v>
      </c>
      <c r="K121" t="e">
        <f>IF(I121="No",CAL_ES(A121,D121,E121,F121,$A$2:$A$251,$C$2:$C$251,$K$2:$K$251,$L$2:$L$251,I121,$V$6,$AA$2,P121),"")</f>
        <v>#VALUE!</v>
      </c>
      <c r="L121" t="e">
        <f>IF(I121="No",CAL_EF(A121,D121,E121,F121,$A$2:$A$251,$C$2:$C$251,$K$2:$K$251,$L$2:$L$251,I121,$AA$2,P121),"")</f>
        <v>#VALUE!</v>
      </c>
      <c r="M121" t="e">
        <f>IF(I121="No",CAL_LS(A121,G121,$A$2:$N$251,I121,$AA$2),"")</f>
        <v>#VALUE!</v>
      </c>
      <c r="N121" t="e">
        <f>IF(I121="No",CAL_LF(A121,G121,$A$2:$N$251,I121,$W$6,$AA$2),"")</f>
        <v>#VALUE!</v>
      </c>
      <c r="O121" t="e">
        <f>IF(I121="No",CAL_TF(K121,L121,N121,C121,$AA$2),"0")</f>
        <v>#VALUE!</v>
      </c>
      <c r="P121" s="33">
        <v>0</v>
      </c>
    </row>
    <row r="122" spans="1:16" x14ac:dyDescent="0.2">
      <c r="A122" s="8" t="s">
        <v>559</v>
      </c>
      <c r="B122" s="8" t="s">
        <v>1227</v>
      </c>
      <c r="C122">
        <f>IF(ISERROR(Resource_Table!C122/(Resource_Table!E122*J122)),0,ROUNDUP(Resource_Table!C122/(Resource_Table!E122*J122),0))</f>
        <v>180</v>
      </c>
      <c r="D122" s="8" t="s">
        <v>562</v>
      </c>
      <c r="F122">
        <v>0</v>
      </c>
      <c r="G122" t="str">
        <f t="shared" si="1"/>
        <v>118SS+30 days,119SS+30 days,120SS+30 days,123,212FS-15 days,217FS-30 days,222FS-15 days,228FS-15 days,242FS-7 days,248FS-7 days</v>
      </c>
      <c r="H122" s="8" t="s">
        <v>1134</v>
      </c>
      <c r="I122" s="8" t="s">
        <v>72</v>
      </c>
      <c r="J122">
        <f>CAL_RESOURCE(Resource_Table!F122,PDM!S10)</f>
        <v>2</v>
      </c>
      <c r="K122" t="e">
        <f>IF(I122="No",CAL_ES(A122,D122,E122,F122,$A$2:$A$251,$C$2:$C$251,$K$2:$K$251,$L$2:$L$251,I122,$V$6,$AA$2,P122),"")</f>
        <v>#VALUE!</v>
      </c>
      <c r="L122" t="e">
        <f>IF(I122="No",CAL_EF(A122,D122,E122,F122,$A$2:$A$251,$C$2:$C$251,$K$2:$K$251,$L$2:$L$251,I122,$AA$2,P122),"")</f>
        <v>#VALUE!</v>
      </c>
      <c r="M122" t="e">
        <f>IF(I122="No",CAL_LS(A122,G122,$A$2:$N$251,I122,$AA$2),"")</f>
        <v>#VALUE!</v>
      </c>
      <c r="N122" t="e">
        <f>IF(I122="No",CAL_LF(A122,G122,$A$2:$N$251,I122,$W$6,$AA$2),"")</f>
        <v>#VALUE!</v>
      </c>
      <c r="O122" t="e">
        <f>IF(I122="No",CAL_TF(K122,L122,N122,C122,$AA$2),"0")</f>
        <v>#VALUE!</v>
      </c>
      <c r="P122" s="33">
        <v>0</v>
      </c>
    </row>
    <row r="123" spans="1:16" x14ac:dyDescent="0.2">
      <c r="A123" s="8" t="s">
        <v>563</v>
      </c>
      <c r="B123" s="8" t="s">
        <v>1229</v>
      </c>
      <c r="C123" s="6" t="s">
        <v>1033</v>
      </c>
      <c r="D123" s="8"/>
      <c r="F123">
        <v>0</v>
      </c>
      <c r="G123" t="str">
        <f t="shared" si="1"/>
        <v/>
      </c>
      <c r="H123" s="8"/>
      <c r="I123" s="8" t="s">
        <v>47</v>
      </c>
      <c r="J123" s="6"/>
      <c r="K123" t="str">
        <f>IF(I123="No",CAL_ES(A123,D123,E123,F123,$A$2:$A$251,$C$2:$C$251,$K$2:$K$251,$L$2:$L$251,I123,$V$6,$AA$2,P123),"")</f>
        <v/>
      </c>
      <c r="L123" t="str">
        <f>IF(I123="No",CAL_EF(A123,D123,E123,F123,$A$2:$A$251,$C$2:$C$251,$K$2:$K$251,$L$2:$L$251,I123,$AA$2,P123),"")</f>
        <v/>
      </c>
      <c r="M123" t="str">
        <f>IF(I123="No",CAL_LS(A123,G123,$A$2:$N$251,I123,$AA$2),"")</f>
        <v/>
      </c>
      <c r="N123" t="str">
        <f>IF(I123="No",CAL_LF(A123,G123,$A$2:$N$251,I123,$W$6,$AA$2),"")</f>
        <v/>
      </c>
      <c r="O123" t="str">
        <f>IF(I123="No",CAL_TF(K123,L123,N123,C123,$AA$2),"0")</f>
        <v>0</v>
      </c>
      <c r="P123" s="33">
        <v>0</v>
      </c>
    </row>
    <row r="124" spans="1:16" x14ac:dyDescent="0.2">
      <c r="A124" s="8" t="s">
        <v>568</v>
      </c>
      <c r="B124" s="8" t="s">
        <v>1231</v>
      </c>
      <c r="C124">
        <f>IF(ISERROR(Resource_Table!C124/(Resource_Table!E124*J124)),0,ROUNDUP(Resource_Table!C124/(Resource_Table!E124*J124),0))</f>
        <v>30</v>
      </c>
      <c r="D124" s="8" t="s">
        <v>559</v>
      </c>
      <c r="F124">
        <v>0</v>
      </c>
      <c r="G124" t="str">
        <f t="shared" si="1"/>
        <v>124,127FS+45 days,128FS+45 days,131FS+45 days,152SS,193SS,194SS,195SS,196SS,197SS,202SS,204SS,205SS,206SS,207SS</v>
      </c>
      <c r="H124" s="8" t="s">
        <v>1129</v>
      </c>
      <c r="I124" s="8" t="s">
        <v>72</v>
      </c>
      <c r="J124">
        <f>CAL_RESOURCE(Resource_Table!F124,PDM!S9)</f>
        <v>17</v>
      </c>
      <c r="K124" t="e">
        <f>IF(I124="No",CAL_ES(A124,D124,E124,F124,$A$2:$A$251,$C$2:$C$251,$K$2:$K$251,$L$2:$L$251,I124,$V$6,$AA$2,P124),"")</f>
        <v>#VALUE!</v>
      </c>
      <c r="L124" t="e">
        <f>IF(I124="No",CAL_EF(A124,D124,E124,F124,$A$2:$A$251,$C$2:$C$251,$K$2:$K$251,$L$2:$L$251,I124,$AA$2,P124),"")</f>
        <v>#VALUE!</v>
      </c>
      <c r="M124" t="e">
        <f>IF(I124="No",CAL_LS(A124,G124,$A$2:$N$251,I124,$AA$2),"")</f>
        <v>#VALUE!</v>
      </c>
      <c r="N124" t="e">
        <f>IF(I124="No",CAL_LF(A124,G124,$A$2:$N$251,I124,$W$6,$AA$2),"")</f>
        <v>#VALUE!</v>
      </c>
      <c r="O124" t="e">
        <f>IF(I124="No",CAL_TF(K124,L124,N124,C124,$AA$2),"0")</f>
        <v>#VALUE!</v>
      </c>
      <c r="P124" s="33">
        <v>0</v>
      </c>
    </row>
    <row r="125" spans="1:16" x14ac:dyDescent="0.2">
      <c r="A125" s="8" t="s">
        <v>575</v>
      </c>
      <c r="B125" s="8" t="s">
        <v>1233</v>
      </c>
      <c r="C125">
        <f>IF(ISERROR(Resource_Table!C125/(Resource_Table!E125*J125)),0,ROUNDUP(Resource_Table!C125/(Resource_Table!E125*J125),0))</f>
        <v>75</v>
      </c>
      <c r="D125" s="8" t="s">
        <v>568</v>
      </c>
      <c r="F125">
        <v>0</v>
      </c>
      <c r="G125" t="str">
        <f t="shared" si="1"/>
        <v/>
      </c>
      <c r="H125" s="8" t="s">
        <v>1129</v>
      </c>
      <c r="I125" s="8" t="s">
        <v>72</v>
      </c>
      <c r="J125">
        <f>CAL_RESOURCE(Resource_Table!F125,PDM!S9)</f>
        <v>8</v>
      </c>
      <c r="K125" t="e">
        <f>IF(I125="No",CAL_ES(A125,D125,E125,F125,$A$2:$A$251,$C$2:$C$251,$K$2:$K$251,$L$2:$L$251,I125,$V$6,$AA$2,P125),"")</f>
        <v>#VALUE!</v>
      </c>
      <c r="L125" t="e">
        <f>IF(I125="No",CAL_EF(A125,D125,E125,F125,$A$2:$A$251,$C$2:$C$251,$K$2:$K$251,$L$2:$L$251,I125,$AA$2,P125),"")</f>
        <v>#VALUE!</v>
      </c>
      <c r="M125" t="e">
        <f>IF(I125="No",CAL_LS(A125,G125,$A$2:$N$251,I125,$AA$2),"")</f>
        <v>#VALUE!</v>
      </c>
      <c r="N125" t="e">
        <f>IF(I125="No",CAL_LF(A125,G125,$A$2:$N$251,I125,$W$6,$AA$2),"")</f>
        <v>#VALUE!</v>
      </c>
      <c r="O125" t="e">
        <f>IF(I125="No",CAL_TF(K125,L125,N125,C125,$AA$2),"0")</f>
        <v>#VALUE!</v>
      </c>
      <c r="P125" s="33">
        <v>0</v>
      </c>
    </row>
    <row r="126" spans="1:16" x14ac:dyDescent="0.2">
      <c r="A126" s="8" t="s">
        <v>583</v>
      </c>
      <c r="B126" s="8" t="s">
        <v>1235</v>
      </c>
      <c r="C126" s="6" t="s">
        <v>1033</v>
      </c>
      <c r="D126" s="8"/>
      <c r="F126">
        <v>0</v>
      </c>
      <c r="G126" t="str">
        <f t="shared" si="1"/>
        <v/>
      </c>
      <c r="H126" s="8"/>
      <c r="I126" s="8" t="s">
        <v>47</v>
      </c>
      <c r="J126" s="6"/>
      <c r="K126" t="str">
        <f>IF(I126="No",CAL_ES(A126,D126,E126,F126,$A$2:$A$251,$C$2:$C$251,$K$2:$K$251,$L$2:$L$251,I126,$V$6,$AA$2,P126),"")</f>
        <v/>
      </c>
      <c r="L126" t="str">
        <f>IF(I126="No",CAL_EF(A126,D126,E126,F126,$A$2:$A$251,$C$2:$C$251,$K$2:$K$251,$L$2:$L$251,I126,$AA$2,P126),"")</f>
        <v/>
      </c>
      <c r="M126" t="str">
        <f>IF(I126="No",CAL_LS(A126,G126,$A$2:$N$251,I126,$AA$2),"")</f>
        <v/>
      </c>
      <c r="N126" t="str">
        <f>IF(I126="No",CAL_LF(A126,G126,$A$2:$N$251,I126,$W$6,$AA$2),"")</f>
        <v/>
      </c>
      <c r="O126" t="str">
        <f>IF(I126="No",CAL_TF(K126,L126,N126,C126,$AA$2),"0")</f>
        <v>0</v>
      </c>
      <c r="P126" s="33">
        <v>0</v>
      </c>
    </row>
    <row r="127" spans="1:16" x14ac:dyDescent="0.2">
      <c r="A127" s="8" t="s">
        <v>589</v>
      </c>
      <c r="B127" s="8" t="s">
        <v>1132</v>
      </c>
      <c r="C127">
        <f>IF(ISERROR(Resource_Table!C127/(Resource_Table!E127*J127)),0,ROUNDUP(Resource_Table!C127/(Resource_Table!E127*J127),0))</f>
        <v>30</v>
      </c>
      <c r="D127" s="8" t="s">
        <v>591</v>
      </c>
      <c r="F127">
        <v>0</v>
      </c>
      <c r="G127" t="str">
        <f t="shared" si="1"/>
        <v/>
      </c>
      <c r="H127" s="8" t="s">
        <v>1134</v>
      </c>
      <c r="I127" s="8" t="s">
        <v>72</v>
      </c>
      <c r="J127">
        <f>CAL_RESOURCE(Resource_Table!F127,PDM!S10)</f>
        <v>5</v>
      </c>
      <c r="K127" t="e">
        <f>IF(I127="No",CAL_ES(A127,D127,E127,F127,$A$2:$A$251,$C$2:$C$251,$K$2:$K$251,$L$2:$L$251,I127,$V$6,$AA$2,P127),"")</f>
        <v>#VALUE!</v>
      </c>
      <c r="L127" t="e">
        <f>IF(I127="No",CAL_EF(A127,D127,E127,F127,$A$2:$A$251,$C$2:$C$251,$K$2:$K$251,$L$2:$L$251,I127,$AA$2,P127),"")</f>
        <v>#VALUE!</v>
      </c>
      <c r="M127" t="e">
        <f>IF(I127="No",CAL_LS(A127,G127,$A$2:$N$251,I127,$AA$2),"")</f>
        <v>#VALUE!</v>
      </c>
      <c r="N127" t="e">
        <f>IF(I127="No",CAL_LF(A127,G127,$A$2:$N$251,I127,$W$6,$AA$2),"")</f>
        <v>#VALUE!</v>
      </c>
      <c r="O127" t="e">
        <f>IF(I127="No",CAL_TF(K127,L127,N127,C127,$AA$2),"0")</f>
        <v>#VALUE!</v>
      </c>
      <c r="P127" s="33">
        <v>0</v>
      </c>
    </row>
    <row r="128" spans="1:16" x14ac:dyDescent="0.2">
      <c r="A128" s="8" t="s">
        <v>593</v>
      </c>
      <c r="B128" s="8" t="s">
        <v>1135</v>
      </c>
      <c r="C128">
        <f>IF(ISERROR(Resource_Table!C128/(Resource_Table!E128*J128)),0,ROUNDUP(Resource_Table!C128/(Resource_Table!E128*J128),0))</f>
        <v>60</v>
      </c>
      <c r="D128" s="8" t="s">
        <v>1237</v>
      </c>
      <c r="F128">
        <v>0</v>
      </c>
      <c r="G128" t="str">
        <f t="shared" si="1"/>
        <v>126,132</v>
      </c>
      <c r="H128" s="8" t="s">
        <v>1129</v>
      </c>
      <c r="I128" s="8" t="s">
        <v>72</v>
      </c>
      <c r="J128">
        <f>CAL_RESOURCE(Resource_Table!F128,PDM!S9)</f>
        <v>5</v>
      </c>
      <c r="K128" t="e">
        <f>IF(I128="No",CAL_ES(A128,D128,E128,F128,$A$2:$A$251,$C$2:$C$251,$K$2:$K$251,$L$2:$L$251,I128,$V$6,$AA$2,P128),"")</f>
        <v>#VALUE!</v>
      </c>
      <c r="L128" t="e">
        <f>IF(I128="No",CAL_EF(A128,D128,E128,F128,$A$2:$A$251,$C$2:$C$251,$K$2:$K$251,$L$2:$L$251,I128,$AA$2,P128),"")</f>
        <v>#VALUE!</v>
      </c>
      <c r="M128" t="e">
        <f>IF(I128="No",CAL_LS(A128,G128,$A$2:$N$251,I128,$AA$2),"")</f>
        <v>#VALUE!</v>
      </c>
      <c r="N128" t="e">
        <f>IF(I128="No",CAL_LF(A128,G128,$A$2:$N$251,I128,$W$6,$AA$2),"")</f>
        <v>#VALUE!</v>
      </c>
      <c r="O128" t="e">
        <f>IF(I128="No",CAL_TF(K128,L128,N128,C128,$AA$2),"0")</f>
        <v>#VALUE!</v>
      </c>
      <c r="P128" s="33">
        <v>0</v>
      </c>
    </row>
    <row r="129" spans="1:16" x14ac:dyDescent="0.2">
      <c r="A129" s="8" t="s">
        <v>600</v>
      </c>
      <c r="B129" s="8" t="s">
        <v>1137</v>
      </c>
      <c r="C129">
        <f>IF(ISERROR(Resource_Table!C129/(Resource_Table!E129*J129)),0,ROUNDUP(Resource_Table!C129/(Resource_Table!E129*J129),0))</f>
        <v>30</v>
      </c>
      <c r="D129" s="8" t="s">
        <v>1237</v>
      </c>
      <c r="F129">
        <v>0</v>
      </c>
      <c r="G129" t="str">
        <f t="shared" si="1"/>
        <v>129,130</v>
      </c>
      <c r="H129" s="8" t="s">
        <v>1129</v>
      </c>
      <c r="I129" s="8" t="s">
        <v>72</v>
      </c>
      <c r="J129">
        <f>CAL_RESOURCE(Resource_Table!F129,PDM!S9)</f>
        <v>7</v>
      </c>
      <c r="K129" t="e">
        <f>IF(I129="No",CAL_ES(A129,D129,E129,F129,$A$2:$A$251,$C$2:$C$251,$K$2:$K$251,$L$2:$L$251,I129,$V$6,$AA$2,P129),"")</f>
        <v>#VALUE!</v>
      </c>
      <c r="L129" t="e">
        <f>IF(I129="No",CAL_EF(A129,D129,E129,F129,$A$2:$A$251,$C$2:$C$251,$K$2:$K$251,$L$2:$L$251,I129,$AA$2,P129),"")</f>
        <v>#VALUE!</v>
      </c>
      <c r="M129" t="e">
        <f>IF(I129="No",CAL_LS(A129,G129,$A$2:$N$251,I129,$AA$2),"")</f>
        <v>#VALUE!</v>
      </c>
      <c r="N129" t="e">
        <f>IF(I129="No",CAL_LF(A129,G129,$A$2:$N$251,I129,$W$6,$AA$2),"")</f>
        <v>#VALUE!</v>
      </c>
      <c r="O129" t="e">
        <f>IF(I129="No",CAL_TF(K129,L129,N129,C129,$AA$2),"0")</f>
        <v>#VALUE!</v>
      </c>
      <c r="P129" s="33">
        <v>0</v>
      </c>
    </row>
    <row r="130" spans="1:16" x14ac:dyDescent="0.2">
      <c r="A130" s="8" t="s">
        <v>603</v>
      </c>
      <c r="B130" s="8" t="s">
        <v>1138</v>
      </c>
      <c r="C130">
        <f>IF(ISERROR(Resource_Table!C130/(Resource_Table!E130*J130)),0,ROUNDUP(Resource_Table!C130/(Resource_Table!E130*J130),0))</f>
        <v>30</v>
      </c>
      <c r="D130" s="8" t="s">
        <v>600</v>
      </c>
      <c r="F130">
        <v>0</v>
      </c>
      <c r="G130" t="str">
        <f t="shared" ref="G130:G193" si="2">FIND_Successor(A130,$D$2:$D$251,$E$2:$E$251,$F$2:$F$251)</f>
        <v>126,132</v>
      </c>
      <c r="H130" s="8" t="s">
        <v>1134</v>
      </c>
      <c r="I130" s="8" t="s">
        <v>72</v>
      </c>
      <c r="J130">
        <f>CAL_RESOURCE(Resource_Table!F130,PDM!S10)</f>
        <v>8</v>
      </c>
      <c r="K130" t="e">
        <f>IF(I130="No",CAL_ES(A130,D130,E130,F130,$A$2:$A$251,$C$2:$C$251,$K$2:$K$251,$L$2:$L$251,I130,$V$6,$AA$2,P130),"")</f>
        <v>#VALUE!</v>
      </c>
      <c r="L130" t="e">
        <f>IF(I130="No",CAL_EF(A130,D130,E130,F130,$A$2:$A$251,$C$2:$C$251,$K$2:$K$251,$L$2:$L$251,I130,$AA$2,P130),"")</f>
        <v>#VALUE!</v>
      </c>
      <c r="M130" t="e">
        <f>IF(I130="No",CAL_LS(A130,G130,$A$2:$N$251,I130,$AA$2),"")</f>
        <v>#VALUE!</v>
      </c>
      <c r="N130" t="e">
        <f>IF(I130="No",CAL_LF(A130,G130,$A$2:$N$251,I130,$W$6,$AA$2),"")</f>
        <v>#VALUE!</v>
      </c>
      <c r="O130" t="e">
        <f>IF(I130="No",CAL_TF(K130,L130,N130,C130,$AA$2),"0")</f>
        <v>#VALUE!</v>
      </c>
      <c r="P130" s="33">
        <v>0</v>
      </c>
    </row>
    <row r="131" spans="1:16" x14ac:dyDescent="0.2">
      <c r="A131" s="8" t="s">
        <v>606</v>
      </c>
      <c r="B131" s="8" t="s">
        <v>1139</v>
      </c>
      <c r="C131">
        <f>IF(ISERROR(Resource_Table!C131/(Resource_Table!E131*J131)),0,ROUNDUP(Resource_Table!C131/(Resource_Table!E131*J131),0))</f>
        <v>30</v>
      </c>
      <c r="D131" s="8" t="s">
        <v>600</v>
      </c>
      <c r="F131">
        <v>0</v>
      </c>
      <c r="G131" t="str">
        <f t="shared" si="2"/>
        <v>126,132</v>
      </c>
      <c r="H131" s="8" t="s">
        <v>1129</v>
      </c>
      <c r="I131" s="8" t="s">
        <v>72</v>
      </c>
      <c r="J131">
        <f>CAL_RESOURCE(Resource_Table!F131,PDM!S9)</f>
        <v>2</v>
      </c>
      <c r="K131" t="e">
        <f>IF(I131="No",CAL_ES(A131,D131,E131,F131,$A$2:$A$251,$C$2:$C$251,$K$2:$K$251,$L$2:$L$251,I131,$V$6,$AA$2,P131),"")</f>
        <v>#VALUE!</v>
      </c>
      <c r="L131" t="e">
        <f>IF(I131="No",CAL_EF(A131,D131,E131,F131,$A$2:$A$251,$C$2:$C$251,$K$2:$K$251,$L$2:$L$251,I131,$AA$2,P131),"")</f>
        <v>#VALUE!</v>
      </c>
      <c r="M131" t="e">
        <f>IF(I131="No",CAL_LS(A131,G131,$A$2:$N$251,I131,$AA$2),"")</f>
        <v>#VALUE!</v>
      </c>
      <c r="N131" t="e">
        <f>IF(I131="No",CAL_LF(A131,G131,$A$2:$N$251,I131,$W$6,$AA$2),"")</f>
        <v>#VALUE!</v>
      </c>
      <c r="O131" t="e">
        <f>IF(I131="No",CAL_TF(K131,L131,N131,C131,$AA$2),"0")</f>
        <v>#VALUE!</v>
      </c>
      <c r="P131" s="33">
        <v>0</v>
      </c>
    </row>
    <row r="132" spans="1:16" x14ac:dyDescent="0.2">
      <c r="A132" s="8" t="s">
        <v>608</v>
      </c>
      <c r="B132" s="8" t="s">
        <v>1238</v>
      </c>
      <c r="C132">
        <f>IF(ISERROR(Resource_Table!C132/(Resource_Table!E132*J132)),0,ROUNDUP(Resource_Table!C132/(Resource_Table!E132*J132),0))</f>
        <v>60</v>
      </c>
      <c r="D132" s="8" t="s">
        <v>1237</v>
      </c>
      <c r="F132">
        <v>0</v>
      </c>
      <c r="G132" t="str">
        <f t="shared" si="2"/>
        <v/>
      </c>
      <c r="H132" s="8" t="s">
        <v>1129</v>
      </c>
      <c r="I132" s="8" t="s">
        <v>72</v>
      </c>
      <c r="J132">
        <f>CAL_RESOURCE(Resource_Table!F132,PDM!S9)</f>
        <v>2</v>
      </c>
      <c r="K132" t="e">
        <f>IF(I132="No",CAL_ES(A132,D132,E132,F132,$A$2:$A$251,$C$2:$C$251,$K$2:$K$251,$L$2:$L$251,I132,$V$6,$AA$2,P132),"")</f>
        <v>#VALUE!</v>
      </c>
      <c r="L132" t="e">
        <f>IF(I132="No",CAL_EF(A132,D132,E132,F132,$A$2:$A$251,$C$2:$C$251,$K$2:$K$251,$L$2:$L$251,I132,$AA$2,P132),"")</f>
        <v>#VALUE!</v>
      </c>
      <c r="M132" t="e">
        <f>IF(I132="No",CAL_LS(A132,G132,$A$2:$N$251,I132,$AA$2),"")</f>
        <v>#VALUE!</v>
      </c>
      <c r="N132" t="e">
        <f>IF(I132="No",CAL_LF(A132,G132,$A$2:$N$251,I132,$W$6,$AA$2),"")</f>
        <v>#VALUE!</v>
      </c>
      <c r="O132" t="e">
        <f>IF(I132="No",CAL_TF(K132,L132,N132,C132,$AA$2),"0")</f>
        <v>#VALUE!</v>
      </c>
      <c r="P132" s="33">
        <v>0</v>
      </c>
    </row>
    <row r="133" spans="1:16" x14ac:dyDescent="0.2">
      <c r="A133" s="8" t="s">
        <v>611</v>
      </c>
      <c r="B133" s="8" t="s">
        <v>1140</v>
      </c>
      <c r="C133">
        <f>IF(ISERROR(Resource_Table!C133/(Resource_Table!E133*J133)),0,ROUNDUP(Resource_Table!C133/(Resource_Table!E133*J133),0))</f>
        <v>30</v>
      </c>
      <c r="D133" s="8" t="s">
        <v>591</v>
      </c>
      <c r="F133">
        <v>0</v>
      </c>
      <c r="G133" t="str">
        <f t="shared" si="2"/>
        <v/>
      </c>
      <c r="H133" s="8" t="s">
        <v>1129</v>
      </c>
      <c r="I133" s="8" t="s">
        <v>72</v>
      </c>
      <c r="J133">
        <f>CAL_RESOURCE(Resource_Table!F133,PDM!S9)</f>
        <v>4</v>
      </c>
      <c r="K133" t="e">
        <f>IF(I133="No",CAL_ES(A133,D133,E133,F133,$A$2:$A$251,$C$2:$C$251,$K$2:$K$251,$L$2:$L$251,I133,$V$6,$AA$2,P133),"")</f>
        <v>#VALUE!</v>
      </c>
      <c r="L133" t="e">
        <f>IF(I133="No",CAL_EF(A133,D133,E133,F133,$A$2:$A$251,$C$2:$C$251,$K$2:$K$251,$L$2:$L$251,I133,$AA$2,P133),"")</f>
        <v>#VALUE!</v>
      </c>
      <c r="M133" t="e">
        <f>IF(I133="No",CAL_LS(A133,G133,$A$2:$N$251,I133,$AA$2),"")</f>
        <v>#VALUE!</v>
      </c>
      <c r="N133" t="e">
        <f>IF(I133="No",CAL_LF(A133,G133,$A$2:$N$251,I133,$W$6,$AA$2),"")</f>
        <v>#VALUE!</v>
      </c>
      <c r="O133" t="e">
        <f>IF(I133="No",CAL_TF(K133,L133,N133,C133,$AA$2),"0")</f>
        <v>#VALUE!</v>
      </c>
      <c r="P133" s="33">
        <v>0</v>
      </c>
    </row>
    <row r="134" spans="1:16" x14ac:dyDescent="0.2">
      <c r="A134" s="8" t="s">
        <v>613</v>
      </c>
      <c r="B134" s="8" t="s">
        <v>1141</v>
      </c>
      <c r="C134" s="6" t="s">
        <v>1033</v>
      </c>
      <c r="D134" s="8"/>
      <c r="F134">
        <v>0</v>
      </c>
      <c r="G134" t="str">
        <f t="shared" si="2"/>
        <v/>
      </c>
      <c r="H134" s="8"/>
      <c r="I134" s="8" t="s">
        <v>47</v>
      </c>
      <c r="J134" s="6"/>
      <c r="K134" t="str">
        <f>IF(I134="No",CAL_ES(A134,D134,E134,F134,$A$2:$A$251,$C$2:$C$251,$K$2:$K$251,$L$2:$L$251,I134,$V$6,$AA$2,P134),"")</f>
        <v/>
      </c>
      <c r="L134" t="str">
        <f>IF(I134="No",CAL_EF(A134,D134,E134,F134,$A$2:$A$251,$C$2:$C$251,$K$2:$K$251,$L$2:$L$251,I134,$AA$2,P134),"")</f>
        <v/>
      </c>
      <c r="M134" t="str">
        <f>IF(I134="No",CAL_LS(A134,G134,$A$2:$N$251,I134,$AA$2),"")</f>
        <v/>
      </c>
      <c r="N134" t="str">
        <f>IF(I134="No",CAL_LF(A134,G134,$A$2:$N$251,I134,$W$6,$AA$2),"")</f>
        <v/>
      </c>
      <c r="O134" t="str">
        <f>IF(I134="No",CAL_TF(K134,L134,N134,C134,$AA$2),"0")</f>
        <v>0</v>
      </c>
      <c r="P134" s="33">
        <v>0</v>
      </c>
    </row>
    <row r="135" spans="1:16" x14ac:dyDescent="0.2">
      <c r="A135" s="8" t="s">
        <v>615</v>
      </c>
      <c r="B135" s="8" t="s">
        <v>1142</v>
      </c>
      <c r="C135">
        <f>IF(ISERROR(Resource_Table!C135/(Resource_Table!E135*J135)),0,ROUNDUP(Resource_Table!C135/(Resource_Table!E135*J135),0))</f>
        <v>15</v>
      </c>
      <c r="D135" s="8" t="s">
        <v>1240</v>
      </c>
      <c r="F135">
        <v>0</v>
      </c>
      <c r="G135" t="str">
        <f t="shared" si="2"/>
        <v>136FS+135 days</v>
      </c>
      <c r="H135" s="8" t="s">
        <v>1145</v>
      </c>
      <c r="I135" s="8" t="s">
        <v>72</v>
      </c>
      <c r="J135">
        <f>CAL_RESOURCE(Resource_Table!F135,PDM!S11)</f>
        <v>2</v>
      </c>
      <c r="K135" t="e">
        <f>IF(I135="No",CAL_ES(A135,D135,E135,F135,$A$2:$A$251,$C$2:$C$251,$K$2:$K$251,$L$2:$L$251,I135,$V$6,$AA$2,P135),"")</f>
        <v>#VALUE!</v>
      </c>
      <c r="L135" t="e">
        <f>IF(I135="No",CAL_EF(A135,D135,E135,F135,$A$2:$A$251,$C$2:$C$251,$K$2:$K$251,$L$2:$L$251,I135,$AA$2,P135),"")</f>
        <v>#VALUE!</v>
      </c>
      <c r="M135" t="e">
        <f>IF(I135="No",CAL_LS(A135,G135,$A$2:$N$251,I135,$AA$2),"")</f>
        <v>#VALUE!</v>
      </c>
      <c r="N135" t="e">
        <f>IF(I135="No",CAL_LF(A135,G135,$A$2:$N$251,I135,$W$6,$AA$2),"")</f>
        <v>#VALUE!</v>
      </c>
      <c r="O135" t="e">
        <f>IF(I135="No",CAL_TF(K135,L135,N135,C135,$AA$2),"0")</f>
        <v>#VALUE!</v>
      </c>
      <c r="P135" s="33">
        <v>0</v>
      </c>
    </row>
    <row r="136" spans="1:16" x14ac:dyDescent="0.2">
      <c r="A136" s="8" t="s">
        <v>617</v>
      </c>
      <c r="B136" s="8" t="s">
        <v>1146</v>
      </c>
      <c r="C136">
        <f>IF(ISERROR(Resource_Table!C136/(Resource_Table!E136*J136)),0,ROUNDUP(Resource_Table!C136/(Resource_Table!E136*J136),0))</f>
        <v>15</v>
      </c>
      <c r="D136" s="8" t="s">
        <v>619</v>
      </c>
      <c r="F136">
        <v>0</v>
      </c>
      <c r="G136" t="str">
        <f t="shared" si="2"/>
        <v>134FS+135 days,164FS+135 days</v>
      </c>
      <c r="H136" s="8" t="s">
        <v>1145</v>
      </c>
      <c r="I136" s="8" t="s">
        <v>72</v>
      </c>
      <c r="J136">
        <f>CAL_RESOURCE(Resource_Table!F136,PDM!S11)</f>
        <v>2</v>
      </c>
      <c r="K136" t="e">
        <f>IF(I136="No",CAL_ES(A136,D136,E136,F136,$A$2:$A$251,$C$2:$C$251,$K$2:$K$251,$L$2:$L$251,I136,$V$6,$AA$2,P136),"")</f>
        <v>#VALUE!</v>
      </c>
      <c r="L136" t="e">
        <f>IF(I136="No",CAL_EF(A136,D136,E136,F136,$A$2:$A$251,$C$2:$C$251,$K$2:$K$251,$L$2:$L$251,I136,$AA$2,P136),"")</f>
        <v>#VALUE!</v>
      </c>
      <c r="M136" t="e">
        <f>IF(I136="No",CAL_LS(A136,G136,$A$2:$N$251,I136,$AA$2),"")</f>
        <v>#VALUE!</v>
      </c>
      <c r="N136" t="e">
        <f>IF(I136="No",CAL_LF(A136,G136,$A$2:$N$251,I136,$W$6,$AA$2),"")</f>
        <v>#VALUE!</v>
      </c>
      <c r="O136" t="e">
        <f>IF(I136="No",CAL_TF(K136,L136,N136,C136,$AA$2),"0")</f>
        <v>#VALUE!</v>
      </c>
      <c r="P136" s="33">
        <v>0</v>
      </c>
    </row>
    <row r="137" spans="1:16" x14ac:dyDescent="0.2">
      <c r="A137" s="8" t="s">
        <v>620</v>
      </c>
      <c r="B137" s="8" t="s">
        <v>1148</v>
      </c>
      <c r="C137">
        <f>IF(ISERROR(Resource_Table!C137/(Resource_Table!E137*J137)),0,ROUNDUP(Resource_Table!C137/(Resource_Table!E137*J137),0))</f>
        <v>15</v>
      </c>
      <c r="D137" s="8" t="s">
        <v>1243</v>
      </c>
      <c r="F137">
        <v>0</v>
      </c>
      <c r="G137" t="str">
        <f t="shared" si="2"/>
        <v/>
      </c>
      <c r="H137" s="8" t="s">
        <v>1145</v>
      </c>
      <c r="I137" s="8" t="s">
        <v>72</v>
      </c>
      <c r="J137">
        <f>CAL_RESOURCE(Resource_Table!F137,PDM!S11)</f>
        <v>2</v>
      </c>
      <c r="K137" t="e">
        <f>IF(I137="No",CAL_ES(A137,D137,E137,F137,$A$2:$A$251,$C$2:$C$251,$K$2:$K$251,$L$2:$L$251,I137,$V$6,$AA$2,P137),"")</f>
        <v>#VALUE!</v>
      </c>
      <c r="L137" t="e">
        <f>IF(I137="No",CAL_EF(A137,D137,E137,F137,$A$2:$A$251,$C$2:$C$251,$K$2:$K$251,$L$2:$L$251,I137,$AA$2,P137),"")</f>
        <v>#VALUE!</v>
      </c>
      <c r="M137" t="e">
        <f>IF(I137="No",CAL_LS(A137,G137,$A$2:$N$251,I137,$AA$2),"")</f>
        <v>#VALUE!</v>
      </c>
      <c r="N137" t="e">
        <f>IF(I137="No",CAL_LF(A137,G137,$A$2:$N$251,I137,$W$6,$AA$2),"")</f>
        <v>#VALUE!</v>
      </c>
      <c r="O137" t="e">
        <f>IF(I137="No",CAL_TF(K137,L137,N137,C137,$AA$2),"0")</f>
        <v>#VALUE!</v>
      </c>
      <c r="P137" s="33">
        <v>0</v>
      </c>
    </row>
    <row r="138" spans="1:16" x14ac:dyDescent="0.2">
      <c r="A138" s="8" t="s">
        <v>622</v>
      </c>
      <c r="B138" s="8" t="s">
        <v>1244</v>
      </c>
      <c r="C138" s="6" t="s">
        <v>1033</v>
      </c>
      <c r="D138" s="8"/>
      <c r="F138">
        <v>0</v>
      </c>
      <c r="G138" t="str">
        <f t="shared" si="2"/>
        <v/>
      </c>
      <c r="H138" s="8"/>
      <c r="I138" s="8" t="s">
        <v>47</v>
      </c>
      <c r="J138" s="6"/>
      <c r="K138" t="str">
        <f>IF(I138="No",CAL_ES(A138,D138,E138,F138,$A$2:$A$251,$C$2:$C$251,$K$2:$K$251,$L$2:$L$251,I138,$V$6,$AA$2,P138),"")</f>
        <v/>
      </c>
      <c r="L138" t="str">
        <f>IF(I138="No",CAL_EF(A138,D138,E138,F138,$A$2:$A$251,$C$2:$C$251,$K$2:$K$251,$L$2:$L$251,I138,$AA$2,P138),"")</f>
        <v/>
      </c>
      <c r="M138" t="str">
        <f>IF(I138="No",CAL_LS(A138,G138,$A$2:$N$251,I138,$AA$2),"")</f>
        <v/>
      </c>
      <c r="N138" t="str">
        <f>IF(I138="No",CAL_LF(A138,G138,$A$2:$N$251,I138,$W$6,$AA$2),"")</f>
        <v/>
      </c>
      <c r="O138" t="str">
        <f>IF(I138="No",CAL_TF(K138,L138,N138,C138,$AA$2),"0")</f>
        <v>0</v>
      </c>
      <c r="P138" s="33">
        <v>0</v>
      </c>
    </row>
    <row r="139" spans="1:16" x14ac:dyDescent="0.2">
      <c r="A139" s="8" t="s">
        <v>625</v>
      </c>
      <c r="B139" s="8" t="s">
        <v>1151</v>
      </c>
      <c r="C139" s="6" t="s">
        <v>1033</v>
      </c>
      <c r="D139" s="8"/>
      <c r="F139">
        <v>0</v>
      </c>
      <c r="G139" t="str">
        <f t="shared" si="2"/>
        <v/>
      </c>
      <c r="H139" s="8"/>
      <c r="I139" s="8" t="s">
        <v>47</v>
      </c>
      <c r="J139" s="6"/>
      <c r="K139" t="str">
        <f>IF(I139="No",CAL_ES(A139,D139,E139,F139,$A$2:$A$251,$C$2:$C$251,$K$2:$K$251,$L$2:$L$251,I139,$V$6,$AA$2,P139),"")</f>
        <v/>
      </c>
      <c r="L139" t="str">
        <f>IF(I139="No",CAL_EF(A139,D139,E139,F139,$A$2:$A$251,$C$2:$C$251,$K$2:$K$251,$L$2:$L$251,I139,$AA$2,P139),"")</f>
        <v/>
      </c>
      <c r="M139" t="str">
        <f>IF(I139="No",CAL_LS(A139,G139,$A$2:$N$251,I139,$AA$2),"")</f>
        <v/>
      </c>
      <c r="N139" t="str">
        <f>IF(I139="No",CAL_LF(A139,G139,$A$2:$N$251,I139,$W$6,$AA$2),"")</f>
        <v/>
      </c>
      <c r="O139" t="str">
        <f>IF(I139="No",CAL_TF(K139,L139,N139,C139,$AA$2),"0")</f>
        <v>0</v>
      </c>
      <c r="P139" s="33">
        <v>0</v>
      </c>
    </row>
    <row r="140" spans="1:16" x14ac:dyDescent="0.2">
      <c r="A140" s="8" t="s">
        <v>627</v>
      </c>
      <c r="B140" s="8" t="s">
        <v>1142</v>
      </c>
      <c r="C140">
        <f>IF(ISERROR(Resource_Table!C140/(Resource_Table!E140*J140)),0,ROUNDUP(Resource_Table!C140/(Resource_Table!E140*J140),0))</f>
        <v>126</v>
      </c>
      <c r="D140" s="8" t="s">
        <v>1245</v>
      </c>
      <c r="F140">
        <v>0</v>
      </c>
      <c r="G140" t="str">
        <f t="shared" si="2"/>
        <v>141FS+15 days</v>
      </c>
      <c r="H140" s="8" t="s">
        <v>1145</v>
      </c>
      <c r="I140" s="8" t="s">
        <v>72</v>
      </c>
      <c r="J140">
        <f>CAL_RESOURCE(Resource_Table!F140,PDM!S11)</f>
        <v>1</v>
      </c>
      <c r="K140" t="e">
        <f>IF(I140="No",CAL_ES(A140,D140,E140,F140,$A$2:$A$251,$C$2:$C$251,$K$2:$K$251,$L$2:$L$251,I140,$V$6,$AA$2,P140),"")</f>
        <v>#VALUE!</v>
      </c>
      <c r="L140" t="e">
        <f>IF(I140="No",CAL_EF(A140,D140,E140,F140,$A$2:$A$251,$C$2:$C$251,$K$2:$K$251,$L$2:$L$251,I140,$AA$2,P140),"")</f>
        <v>#VALUE!</v>
      </c>
      <c r="M140" t="e">
        <f>IF(I140="No",CAL_LS(A140,G140,$A$2:$N$251,I140,$AA$2),"")</f>
        <v>#VALUE!</v>
      </c>
      <c r="N140" t="e">
        <f>IF(I140="No",CAL_LF(A140,G140,$A$2:$N$251,I140,$W$6,$AA$2),"")</f>
        <v>#VALUE!</v>
      </c>
      <c r="O140" t="e">
        <f>IF(I140="No",CAL_TF(K140,L140,N140,C140,$AA$2),"0")</f>
        <v>#VALUE!</v>
      </c>
      <c r="P140" s="33">
        <v>0</v>
      </c>
    </row>
    <row r="141" spans="1:16" x14ac:dyDescent="0.2">
      <c r="A141" s="8" t="s">
        <v>629</v>
      </c>
      <c r="B141" s="8" t="s">
        <v>1146</v>
      </c>
      <c r="C141">
        <f>IF(ISERROR(Resource_Table!C141/(Resource_Table!E141*J141)),0,ROUNDUP(Resource_Table!C141/(Resource_Table!E141*J141),0))</f>
        <v>126</v>
      </c>
      <c r="D141" s="8" t="s">
        <v>219</v>
      </c>
      <c r="F141">
        <v>0</v>
      </c>
      <c r="G141" t="str">
        <f t="shared" si="2"/>
        <v>135,139FS+15 days,144SS,167FS+15 days</v>
      </c>
      <c r="H141" s="8" t="s">
        <v>1145</v>
      </c>
      <c r="I141" s="8" t="s">
        <v>72</v>
      </c>
      <c r="J141">
        <f>CAL_RESOURCE(Resource_Table!F141,PDM!S11)</f>
        <v>1</v>
      </c>
      <c r="K141" t="e">
        <f>IF(I141="No",CAL_ES(A141,D141,E141,F141,$A$2:$A$251,$C$2:$C$251,$K$2:$K$251,$L$2:$L$251,I141,$V$6,$AA$2,P141),"")</f>
        <v>#VALUE!</v>
      </c>
      <c r="L141" t="e">
        <f>IF(I141="No",CAL_EF(A141,D141,E141,F141,$A$2:$A$251,$C$2:$C$251,$K$2:$K$251,$L$2:$L$251,I141,$AA$2,P141),"")</f>
        <v>#VALUE!</v>
      </c>
      <c r="M141" t="e">
        <f>IF(I141="No",CAL_LS(A141,G141,$A$2:$N$251,I141,$AA$2),"")</f>
        <v>#VALUE!</v>
      </c>
      <c r="N141" t="e">
        <f>IF(I141="No",CAL_LF(A141,G141,$A$2:$N$251,I141,$W$6,$AA$2),"")</f>
        <v>#VALUE!</v>
      </c>
      <c r="O141" t="e">
        <f>IF(I141="No",CAL_TF(K141,L141,N141,C141,$AA$2),"0")</f>
        <v>#VALUE!</v>
      </c>
      <c r="P141" s="33">
        <v>0</v>
      </c>
    </row>
    <row r="142" spans="1:16" x14ac:dyDescent="0.2">
      <c r="A142" s="8" t="s">
        <v>632</v>
      </c>
      <c r="B142" s="8" t="s">
        <v>1148</v>
      </c>
      <c r="C142">
        <f>IF(ISERROR(Resource_Table!C142/(Resource_Table!E142*J142)),0,ROUNDUP(Resource_Table!C142/(Resource_Table!E142*J142),0))</f>
        <v>126</v>
      </c>
      <c r="D142" s="8" t="s">
        <v>1248</v>
      </c>
      <c r="F142">
        <v>0</v>
      </c>
      <c r="G142" t="str">
        <f t="shared" si="2"/>
        <v/>
      </c>
      <c r="H142" s="8" t="s">
        <v>1145</v>
      </c>
      <c r="I142" s="8" t="s">
        <v>72</v>
      </c>
      <c r="J142">
        <f>CAL_RESOURCE(Resource_Table!F142,PDM!S11)</f>
        <v>1</v>
      </c>
      <c r="K142" t="e">
        <f>IF(I142="No",CAL_ES(A142,D142,E142,F142,$A$2:$A$251,$C$2:$C$251,$K$2:$K$251,$L$2:$L$251,I142,$V$6,$AA$2,P142),"")</f>
        <v>#VALUE!</v>
      </c>
      <c r="L142" t="e">
        <f>IF(I142="No",CAL_EF(A142,D142,E142,F142,$A$2:$A$251,$C$2:$C$251,$K$2:$K$251,$L$2:$L$251,I142,$AA$2,P142),"")</f>
        <v>#VALUE!</v>
      </c>
      <c r="M142" t="e">
        <f>IF(I142="No",CAL_LS(A142,G142,$A$2:$N$251,I142,$AA$2),"")</f>
        <v>#VALUE!</v>
      </c>
      <c r="N142" t="e">
        <f>IF(I142="No",CAL_LF(A142,G142,$A$2:$N$251,I142,$W$6,$AA$2),"")</f>
        <v>#VALUE!</v>
      </c>
      <c r="O142" t="e">
        <f>IF(I142="No",CAL_TF(K142,L142,N142,C142,$AA$2),"0")</f>
        <v>#VALUE!</v>
      </c>
      <c r="P142" s="33">
        <v>0</v>
      </c>
    </row>
    <row r="143" spans="1:16" x14ac:dyDescent="0.2">
      <c r="A143" s="8" t="s">
        <v>634</v>
      </c>
      <c r="B143" s="8" t="s">
        <v>1156</v>
      </c>
      <c r="C143" s="6" t="s">
        <v>1033</v>
      </c>
      <c r="D143" s="8"/>
      <c r="F143">
        <v>0</v>
      </c>
      <c r="G143" t="str">
        <f t="shared" si="2"/>
        <v/>
      </c>
      <c r="H143" s="8"/>
      <c r="I143" s="8" t="s">
        <v>47</v>
      </c>
      <c r="J143" s="6"/>
      <c r="K143" t="str">
        <f>IF(I143="No",CAL_ES(A143,D143,E143,F143,$A$2:$A$251,$C$2:$C$251,$K$2:$K$251,$L$2:$L$251,I143,$V$6,$AA$2,P143),"")</f>
        <v/>
      </c>
      <c r="L143" t="str">
        <f>IF(I143="No",CAL_EF(A143,D143,E143,F143,$A$2:$A$251,$C$2:$C$251,$K$2:$K$251,$L$2:$L$251,I143,$AA$2,P143),"")</f>
        <v/>
      </c>
      <c r="M143" t="str">
        <f>IF(I143="No",CAL_LS(A143,G143,$A$2:$N$251,I143,$AA$2),"")</f>
        <v/>
      </c>
      <c r="N143" t="str">
        <f>IF(I143="No",CAL_LF(A143,G143,$A$2:$N$251,I143,$W$6,$AA$2),"")</f>
        <v/>
      </c>
      <c r="O143" t="str">
        <f>IF(I143="No",CAL_TF(K143,L143,N143,C143,$AA$2),"0")</f>
        <v>0</v>
      </c>
      <c r="P143" s="33">
        <v>0</v>
      </c>
    </row>
    <row r="144" spans="1:16" x14ac:dyDescent="0.2">
      <c r="A144" s="8" t="s">
        <v>636</v>
      </c>
      <c r="B144" s="8" t="s">
        <v>1142</v>
      </c>
      <c r="C144">
        <f>IF(ISERROR(Resource_Table!C144/(Resource_Table!E144*J144)),0,ROUNDUP(Resource_Table!C144/(Resource_Table!E144*J144),0))</f>
        <v>126</v>
      </c>
      <c r="D144" s="8" t="s">
        <v>1249</v>
      </c>
      <c r="F144">
        <v>0</v>
      </c>
      <c r="G144" t="str">
        <f t="shared" si="2"/>
        <v>145FS+15 days</v>
      </c>
      <c r="H144" s="8" t="s">
        <v>1145</v>
      </c>
      <c r="I144" s="8" t="s">
        <v>72</v>
      </c>
      <c r="J144">
        <f>CAL_RESOURCE(Resource_Table!F144,PDM!S11)</f>
        <v>1</v>
      </c>
      <c r="K144" t="e">
        <f>IF(I144="No",CAL_ES(A144,D144,E144,F144,$A$2:$A$251,$C$2:$C$251,$K$2:$K$251,$L$2:$L$251,I144,$V$6,$AA$2,P144),"")</f>
        <v>#VALUE!</v>
      </c>
      <c r="L144" t="e">
        <f>IF(I144="No",CAL_EF(A144,D144,E144,F144,$A$2:$A$251,$C$2:$C$251,$K$2:$K$251,$L$2:$L$251,I144,$AA$2,P144),"")</f>
        <v>#VALUE!</v>
      </c>
      <c r="M144" t="e">
        <f>IF(I144="No",CAL_LS(A144,G144,$A$2:$N$251,I144,$AA$2),"")</f>
        <v>#VALUE!</v>
      </c>
      <c r="N144" t="e">
        <f>IF(I144="No",CAL_LF(A144,G144,$A$2:$N$251,I144,$W$6,$AA$2),"")</f>
        <v>#VALUE!</v>
      </c>
      <c r="O144" t="e">
        <f>IF(I144="No",CAL_TF(K144,L144,N144,C144,$AA$2),"0")</f>
        <v>#VALUE!</v>
      </c>
      <c r="P144" s="33">
        <v>0</v>
      </c>
    </row>
    <row r="145" spans="1:16" x14ac:dyDescent="0.2">
      <c r="A145" s="8" t="s">
        <v>638</v>
      </c>
      <c r="B145" s="8" t="s">
        <v>1146</v>
      </c>
      <c r="C145">
        <f>IF(ISERROR(Resource_Table!C145/(Resource_Table!E145*J145)),0,ROUNDUP(Resource_Table!C145/(Resource_Table!E145*J145),0))</f>
        <v>126</v>
      </c>
      <c r="D145" s="8" t="s">
        <v>640</v>
      </c>
      <c r="F145">
        <v>0</v>
      </c>
      <c r="G145" t="str">
        <f t="shared" si="2"/>
        <v>135,143FS+15 days,169FS+15 days</v>
      </c>
      <c r="H145" s="8" t="s">
        <v>1145</v>
      </c>
      <c r="I145" s="8" t="s">
        <v>72</v>
      </c>
      <c r="J145">
        <f>CAL_RESOURCE(Resource_Table!F145,PDM!S11)</f>
        <v>1</v>
      </c>
      <c r="K145" t="e">
        <f>IF(I145="No",CAL_ES(A145,D145,E145,F145,$A$2:$A$251,$C$2:$C$251,$K$2:$K$251,$L$2:$L$251,I145,$V$6,$AA$2,P145),"")</f>
        <v>#VALUE!</v>
      </c>
      <c r="L145" t="e">
        <f>IF(I145="No",CAL_EF(A145,D145,E145,F145,$A$2:$A$251,$C$2:$C$251,$K$2:$K$251,$L$2:$L$251,I145,$AA$2,P145),"")</f>
        <v>#VALUE!</v>
      </c>
      <c r="M145" t="e">
        <f>IF(I145="No",CAL_LS(A145,G145,$A$2:$N$251,I145,$AA$2),"")</f>
        <v>#VALUE!</v>
      </c>
      <c r="N145" t="e">
        <f>IF(I145="No",CAL_LF(A145,G145,$A$2:$N$251,I145,$W$6,$AA$2),"")</f>
        <v>#VALUE!</v>
      </c>
      <c r="O145" t="e">
        <f>IF(I145="No",CAL_TF(K145,L145,N145,C145,$AA$2),"0")</f>
        <v>#VALUE!</v>
      </c>
      <c r="P145" s="33">
        <v>0</v>
      </c>
    </row>
    <row r="146" spans="1:16" x14ac:dyDescent="0.2">
      <c r="A146" s="8" t="s">
        <v>641</v>
      </c>
      <c r="B146" s="8" t="s">
        <v>1148</v>
      </c>
      <c r="C146">
        <f>IF(ISERROR(Resource_Table!C146/(Resource_Table!E146*J146)),0,ROUNDUP(Resource_Table!C146/(Resource_Table!E146*J146),0))</f>
        <v>126</v>
      </c>
      <c r="D146" s="8" t="s">
        <v>1252</v>
      </c>
      <c r="F146">
        <v>0</v>
      </c>
      <c r="G146" t="str">
        <f t="shared" si="2"/>
        <v/>
      </c>
      <c r="H146" s="8" t="s">
        <v>1145</v>
      </c>
      <c r="I146" s="8" t="s">
        <v>72</v>
      </c>
      <c r="J146">
        <f>CAL_RESOURCE(Resource_Table!F146,PDM!S11)</f>
        <v>1</v>
      </c>
      <c r="K146" t="e">
        <f>IF(I146="No",CAL_ES(A146,D146,E146,F146,$A$2:$A$251,$C$2:$C$251,$K$2:$K$251,$L$2:$L$251,I146,$V$6,$AA$2,P146),"")</f>
        <v>#VALUE!</v>
      </c>
      <c r="L146" t="e">
        <f>IF(I146="No",CAL_EF(A146,D146,E146,F146,$A$2:$A$251,$C$2:$C$251,$K$2:$K$251,$L$2:$L$251,I146,$AA$2,P146),"")</f>
        <v>#VALUE!</v>
      </c>
      <c r="M146" t="e">
        <f>IF(I146="No",CAL_LS(A146,G146,$A$2:$N$251,I146,$AA$2),"")</f>
        <v>#VALUE!</v>
      </c>
      <c r="N146" t="e">
        <f>IF(I146="No",CAL_LF(A146,G146,$A$2:$N$251,I146,$W$6,$AA$2),"")</f>
        <v>#VALUE!</v>
      </c>
      <c r="O146" t="e">
        <f>IF(I146="No",CAL_TF(K146,L146,N146,C146,$AA$2),"0")</f>
        <v>#VALUE!</v>
      </c>
      <c r="P146" s="33">
        <v>0</v>
      </c>
    </row>
    <row r="147" spans="1:16" x14ac:dyDescent="0.2">
      <c r="A147" s="8" t="s">
        <v>643</v>
      </c>
      <c r="B147" s="8" t="s">
        <v>1253</v>
      </c>
      <c r="C147" s="6" t="s">
        <v>1033</v>
      </c>
      <c r="D147" s="8"/>
      <c r="F147">
        <v>0</v>
      </c>
      <c r="G147" t="str">
        <f t="shared" si="2"/>
        <v/>
      </c>
      <c r="H147" s="8"/>
      <c r="I147" s="8" t="s">
        <v>47</v>
      </c>
      <c r="J147" s="6"/>
      <c r="K147" t="str">
        <f>IF(I147="No",CAL_ES(A147,D147,E147,F147,$A$2:$A$251,$C$2:$C$251,$K$2:$K$251,$L$2:$L$251,I147,$V$6,$AA$2,P147),"")</f>
        <v/>
      </c>
      <c r="L147" t="str">
        <f>IF(I147="No",CAL_EF(A147,D147,E147,F147,$A$2:$A$251,$C$2:$C$251,$K$2:$K$251,$L$2:$L$251,I147,$AA$2,P147),"")</f>
        <v/>
      </c>
      <c r="M147" t="str">
        <f>IF(I147="No",CAL_LS(A147,G147,$A$2:$N$251,I147,$AA$2),"")</f>
        <v/>
      </c>
      <c r="N147" t="str">
        <f>IF(I147="No",CAL_LF(A147,G147,$A$2:$N$251,I147,$W$6,$AA$2),"")</f>
        <v/>
      </c>
      <c r="O147" t="str">
        <f>IF(I147="No",CAL_TF(K147,L147,N147,C147,$AA$2),"0")</f>
        <v>0</v>
      </c>
      <c r="P147" s="33">
        <v>0</v>
      </c>
    </row>
    <row r="148" spans="1:16" x14ac:dyDescent="0.2">
      <c r="A148" s="8" t="s">
        <v>646</v>
      </c>
      <c r="B148" s="8" t="s">
        <v>1163</v>
      </c>
      <c r="C148">
        <f>IF(ISERROR(Resource_Table!C148/(Resource_Table!E148*J148)),0,ROUNDUP(Resource_Table!C148/(Resource_Table!E148*J148),0))</f>
        <v>60</v>
      </c>
      <c r="D148" s="8" t="s">
        <v>1254</v>
      </c>
      <c r="F148">
        <v>0</v>
      </c>
      <c r="G148" t="str">
        <f t="shared" si="2"/>
        <v/>
      </c>
      <c r="H148" s="8" t="s">
        <v>1165</v>
      </c>
      <c r="I148" s="8" t="s">
        <v>72</v>
      </c>
      <c r="J148">
        <f>CAL_RESOURCE(Resource_Table!F148,PDM!S12)</f>
        <v>2</v>
      </c>
      <c r="K148" t="e">
        <f>IF(I148="No",CAL_ES(A148,D148,E148,F148,$A$2:$A$251,$C$2:$C$251,$K$2:$K$251,$L$2:$L$251,I148,$V$6,$AA$2,P148),"")</f>
        <v>#VALUE!</v>
      </c>
      <c r="L148" t="e">
        <f>IF(I148="No",CAL_EF(A148,D148,E148,F148,$A$2:$A$251,$C$2:$C$251,$K$2:$K$251,$L$2:$L$251,I148,$AA$2,P148),"")</f>
        <v>#VALUE!</v>
      </c>
      <c r="M148" t="e">
        <f>IF(I148="No",CAL_LS(A148,G148,$A$2:$N$251,I148,$AA$2),"")</f>
        <v>#VALUE!</v>
      </c>
      <c r="N148" t="e">
        <f>IF(I148="No",CAL_LF(A148,G148,$A$2:$N$251,I148,$W$6,$AA$2),"")</f>
        <v>#VALUE!</v>
      </c>
      <c r="O148" t="e">
        <f>IF(I148="No",CAL_TF(K148,L148,N148,C148,$AA$2),"0")</f>
        <v>#VALUE!</v>
      </c>
      <c r="P148" s="33">
        <v>0</v>
      </c>
    </row>
    <row r="149" spans="1:16" x14ac:dyDescent="0.2">
      <c r="A149" s="8" t="s">
        <v>649</v>
      </c>
      <c r="B149" s="8" t="s">
        <v>1166</v>
      </c>
      <c r="C149">
        <f>IF(ISERROR(Resource_Table!C149/(Resource_Table!E149*J149)),0,ROUNDUP(Resource_Table!C149/(Resource_Table!E149*J149),0))</f>
        <v>60</v>
      </c>
      <c r="D149" s="8" t="s">
        <v>1254</v>
      </c>
      <c r="F149">
        <v>0</v>
      </c>
      <c r="G149" t="str">
        <f t="shared" si="2"/>
        <v/>
      </c>
      <c r="H149" s="8" t="s">
        <v>1165</v>
      </c>
      <c r="I149" s="8" t="s">
        <v>72</v>
      </c>
      <c r="J149">
        <f>CAL_RESOURCE(Resource_Table!F149,PDM!S12)</f>
        <v>1</v>
      </c>
      <c r="K149" t="e">
        <f>IF(I149="No",CAL_ES(A149,D149,E149,F149,$A$2:$A$251,$C$2:$C$251,$K$2:$K$251,$L$2:$L$251,I149,$V$6,$AA$2,P149),"")</f>
        <v>#VALUE!</v>
      </c>
      <c r="L149" t="e">
        <f>IF(I149="No",CAL_EF(A149,D149,E149,F149,$A$2:$A$251,$C$2:$C$251,$K$2:$K$251,$L$2:$L$251,I149,$AA$2,P149),"")</f>
        <v>#VALUE!</v>
      </c>
      <c r="M149" t="e">
        <f>IF(I149="No",CAL_LS(A149,G149,$A$2:$N$251,I149,$AA$2),"")</f>
        <v>#VALUE!</v>
      </c>
      <c r="N149" t="e">
        <f>IF(I149="No",CAL_LF(A149,G149,$A$2:$N$251,I149,$W$6,$AA$2),"")</f>
        <v>#VALUE!</v>
      </c>
      <c r="O149" t="e">
        <f>IF(I149="No",CAL_TF(K149,L149,N149,C149,$AA$2),"0")</f>
        <v>#VALUE!</v>
      </c>
      <c r="P149" s="33">
        <v>0</v>
      </c>
    </row>
    <row r="150" spans="1:16" x14ac:dyDescent="0.2">
      <c r="A150" s="8" t="s">
        <v>651</v>
      </c>
      <c r="B150" s="8" t="s">
        <v>1167</v>
      </c>
      <c r="C150">
        <f>IF(ISERROR(Resource_Table!C150/(Resource_Table!E150*J150)),0,ROUNDUP(Resource_Table!C150/(Resource_Table!E150*J150),0))</f>
        <v>80</v>
      </c>
      <c r="D150" s="8" t="s">
        <v>1255</v>
      </c>
      <c r="F150">
        <v>0</v>
      </c>
      <c r="G150" t="str">
        <f t="shared" si="2"/>
        <v>147FS+7 days,148FS+7 days</v>
      </c>
      <c r="H150" s="8" t="s">
        <v>1165</v>
      </c>
      <c r="I150" s="8" t="s">
        <v>72</v>
      </c>
      <c r="J150">
        <f>CAL_RESOURCE(Resource_Table!F150,PDM!S12)</f>
        <v>1</v>
      </c>
      <c r="K150" t="e">
        <f>IF(I150="No",CAL_ES(A150,D150,E150,F150,$A$2:$A$251,$C$2:$C$251,$K$2:$K$251,$L$2:$L$251,I150,$V$6,$AA$2,P150),"")</f>
        <v>#VALUE!</v>
      </c>
      <c r="L150" t="e">
        <f>IF(I150="No",CAL_EF(A150,D150,E150,F150,$A$2:$A$251,$C$2:$C$251,$K$2:$K$251,$L$2:$L$251,I150,$AA$2,P150),"")</f>
        <v>#VALUE!</v>
      </c>
      <c r="M150" t="e">
        <f>IF(I150="No",CAL_LS(A150,G150,$A$2:$N$251,I150,$AA$2),"")</f>
        <v>#VALUE!</v>
      </c>
      <c r="N150" t="e">
        <f>IF(I150="No",CAL_LF(A150,G150,$A$2:$N$251,I150,$W$6,$AA$2),"")</f>
        <v>#VALUE!</v>
      </c>
      <c r="O150" t="e">
        <f>IF(I150="No",CAL_TF(K150,L150,N150,C150,$AA$2),"0")</f>
        <v>#VALUE!</v>
      </c>
      <c r="P150" s="33">
        <v>0</v>
      </c>
    </row>
    <row r="151" spans="1:16" x14ac:dyDescent="0.2">
      <c r="A151" s="8" t="s">
        <v>654</v>
      </c>
      <c r="B151" s="8" t="s">
        <v>1170</v>
      </c>
      <c r="C151">
        <f>IF(ISERROR(Resource_Table!C151/(Resource_Table!E151*J151)),0,ROUNDUP(Resource_Table!C151/(Resource_Table!E151*J151),0))</f>
        <v>80</v>
      </c>
      <c r="D151" s="8" t="s">
        <v>1255</v>
      </c>
      <c r="F151">
        <v>0</v>
      </c>
      <c r="G151" t="str">
        <f t="shared" si="2"/>
        <v/>
      </c>
      <c r="H151" s="8" t="s">
        <v>1165</v>
      </c>
      <c r="I151" s="8" t="s">
        <v>72</v>
      </c>
      <c r="J151">
        <f>CAL_RESOURCE(Resource_Table!F151,PDM!S12)</f>
        <v>1</v>
      </c>
      <c r="K151" t="e">
        <f>IF(I151="No",CAL_ES(A151,D151,E151,F151,$A$2:$A$251,$C$2:$C$251,$K$2:$K$251,$L$2:$L$251,I151,$V$6,$AA$2,P151),"")</f>
        <v>#VALUE!</v>
      </c>
      <c r="L151" t="e">
        <f>IF(I151="No",CAL_EF(A151,D151,E151,F151,$A$2:$A$251,$C$2:$C$251,$K$2:$K$251,$L$2:$L$251,I151,$AA$2,P151),"")</f>
        <v>#VALUE!</v>
      </c>
      <c r="M151" t="e">
        <f>IF(I151="No",CAL_LS(A151,G151,$A$2:$N$251,I151,$AA$2),"")</f>
        <v>#VALUE!</v>
      </c>
      <c r="N151" t="e">
        <f>IF(I151="No",CAL_LF(A151,G151,$A$2:$N$251,I151,$W$6,$AA$2),"")</f>
        <v>#VALUE!</v>
      </c>
      <c r="O151" t="e">
        <f>IF(I151="No",CAL_TF(K151,L151,N151,C151,$AA$2),"0")</f>
        <v>#VALUE!</v>
      </c>
      <c r="P151" s="33">
        <v>0</v>
      </c>
    </row>
    <row r="152" spans="1:16" x14ac:dyDescent="0.2">
      <c r="A152" s="8" t="s">
        <v>656</v>
      </c>
      <c r="B152" s="8" t="s">
        <v>1172</v>
      </c>
      <c r="C152">
        <f>IF(ISERROR(Resource_Table!C152/(Resource_Table!E152*J152)),0,ROUNDUP(Resource_Table!C152/(Resource_Table!E152*J152),0))</f>
        <v>80</v>
      </c>
      <c r="D152" s="8" t="s">
        <v>1255</v>
      </c>
      <c r="F152">
        <v>0</v>
      </c>
      <c r="G152" t="str">
        <f t="shared" si="2"/>
        <v/>
      </c>
      <c r="H152" s="8" t="s">
        <v>1165</v>
      </c>
      <c r="I152" s="8" t="s">
        <v>72</v>
      </c>
      <c r="J152">
        <f>CAL_RESOURCE(Resource_Table!F152,PDM!S12)</f>
        <v>1</v>
      </c>
      <c r="K152" t="e">
        <f>IF(I152="No",CAL_ES(A152,D152,E152,F152,$A$2:$A$251,$C$2:$C$251,$K$2:$K$251,$L$2:$L$251,I152,$V$6,$AA$2,P152),"")</f>
        <v>#VALUE!</v>
      </c>
      <c r="L152" t="e">
        <f>IF(I152="No",CAL_EF(A152,D152,E152,F152,$A$2:$A$251,$C$2:$C$251,$K$2:$K$251,$L$2:$L$251,I152,$AA$2,P152),"")</f>
        <v>#VALUE!</v>
      </c>
      <c r="M152" t="e">
        <f>IF(I152="No",CAL_LS(A152,G152,$A$2:$N$251,I152,$AA$2),"")</f>
        <v>#VALUE!</v>
      </c>
      <c r="N152" t="e">
        <f>IF(I152="No",CAL_LF(A152,G152,$A$2:$N$251,I152,$W$6,$AA$2),"")</f>
        <v>#VALUE!</v>
      </c>
      <c r="O152" t="e">
        <f>IF(I152="No",CAL_TF(K152,L152,N152,C152,$AA$2),"0")</f>
        <v>#VALUE!</v>
      </c>
      <c r="P152" s="33">
        <v>0</v>
      </c>
    </row>
    <row r="153" spans="1:16" x14ac:dyDescent="0.2">
      <c r="A153" s="8" t="s">
        <v>658</v>
      </c>
      <c r="B153" s="8" t="s">
        <v>1258</v>
      </c>
      <c r="C153">
        <f>IF(ISERROR(Resource_Table!C153/(Resource_Table!E153*J153)),0,ROUNDUP(Resource_Table!C153/(Resource_Table!E153*J153),0))</f>
        <v>165</v>
      </c>
      <c r="D153" s="8" t="s">
        <v>661</v>
      </c>
      <c r="F153">
        <v>0</v>
      </c>
      <c r="G153" t="str">
        <f t="shared" si="2"/>
        <v>149SS+30 days,150SS+30 days,151SS+30 days,154SS,210FS-30 days,211FS-30 days,216FS-45 days,221FS-30 days,226FS-30 days,227FS-30 days,232FS-45 days,241FS-7 days,247FS-7 days</v>
      </c>
      <c r="H153" s="8" t="s">
        <v>1134</v>
      </c>
      <c r="I153" s="8" t="s">
        <v>72</v>
      </c>
      <c r="J153">
        <f>CAL_RESOURCE(Resource_Table!F153,PDM!S10)</f>
        <v>2</v>
      </c>
      <c r="K153" t="e">
        <f>IF(I153="No",CAL_ES(A153,D153,E153,F153,$A$2:$A$251,$C$2:$C$251,$K$2:$K$251,$L$2:$L$251,I153,$V$6,$AA$2,P153),"")</f>
        <v>#VALUE!</v>
      </c>
      <c r="L153" t="e">
        <f>IF(I153="No",CAL_EF(A153,D153,E153,F153,$A$2:$A$251,$C$2:$C$251,$K$2:$K$251,$L$2:$L$251,I153,$AA$2,P153),"")</f>
        <v>#VALUE!</v>
      </c>
      <c r="M153" t="e">
        <f>IF(I153="No",CAL_LS(A153,G153,$A$2:$N$251,I153,$AA$2),"")</f>
        <v>#VALUE!</v>
      </c>
      <c r="N153" t="e">
        <f>IF(I153="No",CAL_LF(A153,G153,$A$2:$N$251,I153,$W$6,$AA$2),"")</f>
        <v>#VALUE!</v>
      </c>
      <c r="O153" t="e">
        <f>IF(I153="No",CAL_TF(K153,L153,N153,C153,$AA$2),"0")</f>
        <v>#VALUE!</v>
      </c>
      <c r="P153" s="33">
        <v>0</v>
      </c>
    </row>
    <row r="154" spans="1:16" x14ac:dyDescent="0.2">
      <c r="A154" s="8" t="s">
        <v>662</v>
      </c>
      <c r="B154" s="8" t="s">
        <v>1260</v>
      </c>
      <c r="C154" s="6" t="s">
        <v>1033</v>
      </c>
      <c r="D154" s="8"/>
      <c r="F154">
        <v>0</v>
      </c>
      <c r="G154" t="str">
        <f t="shared" si="2"/>
        <v/>
      </c>
      <c r="H154" s="8"/>
      <c r="I154" s="8" t="s">
        <v>47</v>
      </c>
      <c r="J154" s="6"/>
      <c r="K154" t="str">
        <f>IF(I154="No",CAL_ES(A154,D154,E154,F154,$A$2:$A$251,$C$2:$C$251,$K$2:$K$251,$L$2:$L$251,I154,$V$6,$AA$2,P154),"")</f>
        <v/>
      </c>
      <c r="L154" t="str">
        <f>IF(I154="No",CAL_EF(A154,D154,E154,F154,$A$2:$A$251,$C$2:$C$251,$K$2:$K$251,$L$2:$L$251,I154,$AA$2,P154),"")</f>
        <v/>
      </c>
      <c r="M154" t="str">
        <f>IF(I154="No",CAL_LS(A154,G154,$A$2:$N$251,I154,$AA$2),"")</f>
        <v/>
      </c>
      <c r="N154" t="str">
        <f>IF(I154="No",CAL_LF(A154,G154,$A$2:$N$251,I154,$W$6,$AA$2),"")</f>
        <v/>
      </c>
      <c r="O154" t="str">
        <f>IF(I154="No",CAL_TF(K154,L154,N154,C154,$AA$2),"0")</f>
        <v>0</v>
      </c>
      <c r="P154" s="33">
        <v>0</v>
      </c>
    </row>
    <row r="155" spans="1:16" x14ac:dyDescent="0.2">
      <c r="A155" s="8" t="s">
        <v>667</v>
      </c>
      <c r="B155" s="8" t="s">
        <v>1261</v>
      </c>
      <c r="C155">
        <f>IF(ISERROR(Resource_Table!C155/(Resource_Table!E155*J155)),0,ROUNDUP(Resource_Table!C155/(Resource_Table!E155*J155),0))</f>
        <v>30</v>
      </c>
      <c r="D155" s="8" t="s">
        <v>670</v>
      </c>
      <c r="F155">
        <v>0</v>
      </c>
      <c r="G155" t="str">
        <f t="shared" si="2"/>
        <v>155,158FS+45 days,159FS+45 days,174SS,175SS,176SS,177SS</v>
      </c>
      <c r="H155" s="8" t="s">
        <v>1129</v>
      </c>
      <c r="I155" s="8" t="s">
        <v>72</v>
      </c>
      <c r="J155">
        <f>CAL_RESOURCE(Resource_Table!F155,PDM!S9)</f>
        <v>6</v>
      </c>
      <c r="K155" t="e">
        <f>IF(I155="No",CAL_ES(A155,D155,E155,F155,$A$2:$A$251,$C$2:$C$251,$K$2:$K$251,$L$2:$L$251,I155,$V$6,$AA$2,P155),"")</f>
        <v>#VALUE!</v>
      </c>
      <c r="L155" t="e">
        <f>IF(I155="No",CAL_EF(A155,D155,E155,F155,$A$2:$A$251,$C$2:$C$251,$K$2:$K$251,$L$2:$L$251,I155,$AA$2,P155),"")</f>
        <v>#VALUE!</v>
      </c>
      <c r="M155" t="e">
        <f>IF(I155="No",CAL_LS(A155,G155,$A$2:$N$251,I155,$AA$2),"")</f>
        <v>#VALUE!</v>
      </c>
      <c r="N155" t="e">
        <f>IF(I155="No",CAL_LF(A155,G155,$A$2:$N$251,I155,$W$6,$AA$2),"")</f>
        <v>#VALUE!</v>
      </c>
      <c r="O155" t="e">
        <f>IF(I155="No",CAL_TF(K155,L155,N155,C155,$AA$2),"0")</f>
        <v>#VALUE!</v>
      </c>
      <c r="P155" s="33">
        <v>0</v>
      </c>
    </row>
    <row r="156" spans="1:16" x14ac:dyDescent="0.2">
      <c r="A156" s="8" t="s">
        <v>672</v>
      </c>
      <c r="B156" s="8" t="s">
        <v>1263</v>
      </c>
      <c r="C156">
        <f>IF(ISERROR(Resource_Table!C156/(Resource_Table!E156*J156)),0,ROUNDUP(Resource_Table!C156/(Resource_Table!E156*J156),0))</f>
        <v>75</v>
      </c>
      <c r="D156" s="8" t="s">
        <v>667</v>
      </c>
      <c r="F156">
        <v>0</v>
      </c>
      <c r="G156" t="str">
        <f t="shared" si="2"/>
        <v/>
      </c>
      <c r="H156" s="8" t="s">
        <v>1129</v>
      </c>
      <c r="I156" s="8" t="s">
        <v>72</v>
      </c>
      <c r="J156">
        <f>CAL_RESOURCE(Resource_Table!F156,PDM!S9)</f>
        <v>9</v>
      </c>
      <c r="K156" t="e">
        <f>IF(I156="No",CAL_ES(A156,D156,E156,F156,$A$2:$A$251,$C$2:$C$251,$K$2:$K$251,$L$2:$L$251,I156,$V$6,$AA$2,P156),"")</f>
        <v>#VALUE!</v>
      </c>
      <c r="L156" t="e">
        <f>IF(I156="No",CAL_EF(A156,D156,E156,F156,$A$2:$A$251,$C$2:$C$251,$K$2:$K$251,$L$2:$L$251,I156,$AA$2,P156),"")</f>
        <v>#VALUE!</v>
      </c>
      <c r="M156" t="e">
        <f>IF(I156="No",CAL_LS(A156,G156,$A$2:$N$251,I156,$AA$2),"")</f>
        <v>#VALUE!</v>
      </c>
      <c r="N156" t="e">
        <f>IF(I156="No",CAL_LF(A156,G156,$A$2:$N$251,I156,$W$6,$AA$2),"")</f>
        <v>#VALUE!</v>
      </c>
      <c r="O156" t="e">
        <f>IF(I156="No",CAL_TF(K156,L156,N156,C156,$AA$2),"0")</f>
        <v>#VALUE!</v>
      </c>
      <c r="P156" s="33">
        <v>0</v>
      </c>
    </row>
    <row r="157" spans="1:16" x14ac:dyDescent="0.2">
      <c r="A157" s="8" t="s">
        <v>675</v>
      </c>
      <c r="B157" s="8" t="s">
        <v>1264</v>
      </c>
      <c r="C157" s="6" t="s">
        <v>1033</v>
      </c>
      <c r="D157" s="8"/>
      <c r="F157">
        <v>0</v>
      </c>
      <c r="G157" t="str">
        <f t="shared" si="2"/>
        <v/>
      </c>
      <c r="H157" s="8"/>
      <c r="I157" s="8" t="s">
        <v>47</v>
      </c>
      <c r="J157" s="6"/>
      <c r="K157" t="str">
        <f>IF(I157="No",CAL_ES(A157,D157,E157,F157,$A$2:$A$251,$C$2:$C$251,$K$2:$K$251,$L$2:$L$251,I157,$V$6,$AA$2,P157),"")</f>
        <v/>
      </c>
      <c r="L157" t="str">
        <f>IF(I157="No",CAL_EF(A157,D157,E157,F157,$A$2:$A$251,$C$2:$C$251,$K$2:$K$251,$L$2:$L$251,I157,$AA$2,P157),"")</f>
        <v/>
      </c>
      <c r="M157" t="str">
        <f>IF(I157="No",CAL_LS(A157,G157,$A$2:$N$251,I157,$AA$2),"")</f>
        <v/>
      </c>
      <c r="N157" t="str">
        <f>IF(I157="No",CAL_LF(A157,G157,$A$2:$N$251,I157,$W$6,$AA$2),"")</f>
        <v/>
      </c>
      <c r="O157" t="str">
        <f>IF(I157="No",CAL_TF(K157,L157,N157,C157,$AA$2),"0")</f>
        <v>0</v>
      </c>
      <c r="P157" s="33">
        <v>0</v>
      </c>
    </row>
    <row r="158" spans="1:16" x14ac:dyDescent="0.2">
      <c r="A158" s="8" t="s">
        <v>679</v>
      </c>
      <c r="B158" s="8" t="s">
        <v>1132</v>
      </c>
      <c r="C158">
        <f>IF(ISERROR(Resource_Table!C158/(Resource_Table!E158*J158)),0,ROUNDUP(Resource_Table!C158/(Resource_Table!E158*J158),0))</f>
        <v>30</v>
      </c>
      <c r="D158" s="8" t="s">
        <v>681</v>
      </c>
      <c r="F158">
        <v>0</v>
      </c>
      <c r="G158" t="str">
        <f t="shared" si="2"/>
        <v/>
      </c>
      <c r="H158" s="8" t="s">
        <v>1134</v>
      </c>
      <c r="I158" s="8" t="s">
        <v>72</v>
      </c>
      <c r="J158">
        <f>CAL_RESOURCE(Resource_Table!F158,PDM!S10)</f>
        <v>3</v>
      </c>
      <c r="K158" t="e">
        <f>IF(I158="No",CAL_ES(A158,D158,E158,F158,$A$2:$A$251,$C$2:$C$251,$K$2:$K$251,$L$2:$L$251,I158,$V$6,$AA$2,P158),"")</f>
        <v>#VALUE!</v>
      </c>
      <c r="L158" t="e">
        <f>IF(I158="No",CAL_EF(A158,D158,E158,F158,$A$2:$A$251,$C$2:$C$251,$K$2:$K$251,$L$2:$L$251,I158,$AA$2,P158),"")</f>
        <v>#VALUE!</v>
      </c>
      <c r="M158" t="e">
        <f>IF(I158="No",CAL_LS(A158,G158,$A$2:$N$251,I158,$AA$2),"")</f>
        <v>#VALUE!</v>
      </c>
      <c r="N158" t="e">
        <f>IF(I158="No",CAL_LF(A158,G158,$A$2:$N$251,I158,$W$6,$AA$2),"")</f>
        <v>#VALUE!</v>
      </c>
      <c r="O158" t="e">
        <f>IF(I158="No",CAL_TF(K158,L158,N158,C158,$AA$2),"0")</f>
        <v>#VALUE!</v>
      </c>
      <c r="P158" s="33">
        <v>0</v>
      </c>
    </row>
    <row r="159" spans="1:16" x14ac:dyDescent="0.2">
      <c r="A159" s="8" t="s">
        <v>682</v>
      </c>
      <c r="B159" s="8" t="s">
        <v>1135</v>
      </c>
      <c r="C159">
        <f>IF(ISERROR(Resource_Table!C159/(Resource_Table!E159*J159)),0,ROUNDUP(Resource_Table!C159/(Resource_Table!E159*J159),0))</f>
        <v>60</v>
      </c>
      <c r="D159" s="8" t="s">
        <v>1266</v>
      </c>
      <c r="F159">
        <v>0</v>
      </c>
      <c r="G159" t="str">
        <f t="shared" si="2"/>
        <v>157,162</v>
      </c>
      <c r="H159" s="8" t="s">
        <v>1129</v>
      </c>
      <c r="I159" s="8" t="s">
        <v>72</v>
      </c>
      <c r="J159">
        <f>CAL_RESOURCE(Resource_Table!F159,PDM!S9)</f>
        <v>3</v>
      </c>
      <c r="K159" t="e">
        <f>IF(I159="No",CAL_ES(A159,D159,E159,F159,$A$2:$A$251,$C$2:$C$251,$K$2:$K$251,$L$2:$L$251,I159,$V$6,$AA$2,P159),"")</f>
        <v>#VALUE!</v>
      </c>
      <c r="L159" t="e">
        <f>IF(I159="No",CAL_EF(A159,D159,E159,F159,$A$2:$A$251,$C$2:$C$251,$K$2:$K$251,$L$2:$L$251,I159,$AA$2,P159),"")</f>
        <v>#VALUE!</v>
      </c>
      <c r="M159" t="e">
        <f>IF(I159="No",CAL_LS(A159,G159,$A$2:$N$251,I159,$AA$2),"")</f>
        <v>#VALUE!</v>
      </c>
      <c r="N159" t="e">
        <f>IF(I159="No",CAL_LF(A159,G159,$A$2:$N$251,I159,$W$6,$AA$2),"")</f>
        <v>#VALUE!</v>
      </c>
      <c r="O159" t="e">
        <f>IF(I159="No",CAL_TF(K159,L159,N159,C159,$AA$2),"0")</f>
        <v>#VALUE!</v>
      </c>
      <c r="P159" s="33">
        <v>0</v>
      </c>
    </row>
    <row r="160" spans="1:16" x14ac:dyDescent="0.2">
      <c r="A160" s="8" t="s">
        <v>685</v>
      </c>
      <c r="B160" s="8" t="s">
        <v>1137</v>
      </c>
      <c r="C160">
        <f>IF(ISERROR(Resource_Table!C160/(Resource_Table!E160*J160)),0,ROUNDUP(Resource_Table!C160/(Resource_Table!E160*J160),0))</f>
        <v>30</v>
      </c>
      <c r="D160" s="8" t="s">
        <v>1266</v>
      </c>
      <c r="F160">
        <v>0</v>
      </c>
      <c r="G160" t="str">
        <f t="shared" si="2"/>
        <v>160,161</v>
      </c>
      <c r="H160" s="8" t="s">
        <v>1129</v>
      </c>
      <c r="I160" s="8" t="s">
        <v>72</v>
      </c>
      <c r="J160">
        <f>CAL_RESOURCE(Resource_Table!F160,PDM!S9)</f>
        <v>4</v>
      </c>
      <c r="K160" t="e">
        <f>IF(I160="No",CAL_ES(A160,D160,E160,F160,$A$2:$A$251,$C$2:$C$251,$K$2:$K$251,$L$2:$L$251,I160,$V$6,$AA$2,P160),"")</f>
        <v>#VALUE!</v>
      </c>
      <c r="L160" t="e">
        <f>IF(I160="No",CAL_EF(A160,D160,E160,F160,$A$2:$A$251,$C$2:$C$251,$K$2:$K$251,$L$2:$L$251,I160,$AA$2,P160),"")</f>
        <v>#VALUE!</v>
      </c>
      <c r="M160" t="e">
        <f>IF(I160="No",CAL_LS(A160,G160,$A$2:$N$251,I160,$AA$2),"")</f>
        <v>#VALUE!</v>
      </c>
      <c r="N160" t="e">
        <f>IF(I160="No",CAL_LF(A160,G160,$A$2:$N$251,I160,$W$6,$AA$2),"")</f>
        <v>#VALUE!</v>
      </c>
      <c r="O160" t="e">
        <f>IF(I160="No",CAL_TF(K160,L160,N160,C160,$AA$2),"0")</f>
        <v>#VALUE!</v>
      </c>
      <c r="P160" s="33">
        <v>0</v>
      </c>
    </row>
    <row r="161" spans="1:16" x14ac:dyDescent="0.2">
      <c r="A161" s="8" t="s">
        <v>688</v>
      </c>
      <c r="B161" s="8" t="s">
        <v>1138</v>
      </c>
      <c r="C161">
        <f>IF(ISERROR(Resource_Table!C161/(Resource_Table!E161*J161)),0,ROUNDUP(Resource_Table!C161/(Resource_Table!E161*J161),0))</f>
        <v>30</v>
      </c>
      <c r="D161" s="8" t="s">
        <v>685</v>
      </c>
      <c r="F161">
        <v>0</v>
      </c>
      <c r="G161" t="str">
        <f t="shared" si="2"/>
        <v>157,162</v>
      </c>
      <c r="H161" s="8" t="s">
        <v>1134</v>
      </c>
      <c r="I161" s="8" t="s">
        <v>72</v>
      </c>
      <c r="J161">
        <f>CAL_RESOURCE(Resource_Table!F161,PDM!S10)</f>
        <v>12</v>
      </c>
      <c r="K161" t="e">
        <f>IF(I161="No",CAL_ES(A161,D161,E161,F161,$A$2:$A$251,$C$2:$C$251,$K$2:$K$251,$L$2:$L$251,I161,$V$6,$AA$2,P161),"")</f>
        <v>#VALUE!</v>
      </c>
      <c r="L161" t="e">
        <f>IF(I161="No",CAL_EF(A161,D161,E161,F161,$A$2:$A$251,$C$2:$C$251,$K$2:$K$251,$L$2:$L$251,I161,$AA$2,P161),"")</f>
        <v>#VALUE!</v>
      </c>
      <c r="M161" t="e">
        <f>IF(I161="No",CAL_LS(A161,G161,$A$2:$N$251,I161,$AA$2),"")</f>
        <v>#VALUE!</v>
      </c>
      <c r="N161" t="e">
        <f>IF(I161="No",CAL_LF(A161,G161,$A$2:$N$251,I161,$W$6,$AA$2),"")</f>
        <v>#VALUE!</v>
      </c>
      <c r="O161" t="e">
        <f>IF(I161="No",CAL_TF(K161,L161,N161,C161,$AA$2),"0")</f>
        <v>#VALUE!</v>
      </c>
      <c r="P161" s="33">
        <v>0</v>
      </c>
    </row>
    <row r="162" spans="1:16" x14ac:dyDescent="0.2">
      <c r="A162" s="8" t="s">
        <v>690</v>
      </c>
      <c r="B162" s="8" t="s">
        <v>1139</v>
      </c>
      <c r="C162">
        <f>IF(ISERROR(Resource_Table!C162/(Resource_Table!E162*J162)),0,ROUNDUP(Resource_Table!C162/(Resource_Table!E162*J162),0))</f>
        <v>30</v>
      </c>
      <c r="D162" s="8" t="s">
        <v>685</v>
      </c>
      <c r="F162">
        <v>0</v>
      </c>
      <c r="G162" t="str">
        <f t="shared" si="2"/>
        <v>157,162</v>
      </c>
      <c r="H162" s="8" t="s">
        <v>1129</v>
      </c>
      <c r="I162" s="8" t="s">
        <v>72</v>
      </c>
      <c r="J162">
        <f>CAL_RESOURCE(Resource_Table!F162,PDM!S9)</f>
        <v>2</v>
      </c>
      <c r="K162" t="e">
        <f>IF(I162="No",CAL_ES(A162,D162,E162,F162,$A$2:$A$251,$C$2:$C$251,$K$2:$K$251,$L$2:$L$251,I162,$V$6,$AA$2,P162),"")</f>
        <v>#VALUE!</v>
      </c>
      <c r="L162" t="e">
        <f>IF(I162="No",CAL_EF(A162,D162,E162,F162,$A$2:$A$251,$C$2:$C$251,$K$2:$K$251,$L$2:$L$251,I162,$AA$2,P162),"")</f>
        <v>#VALUE!</v>
      </c>
      <c r="M162" t="e">
        <f>IF(I162="No",CAL_LS(A162,G162,$A$2:$N$251,I162,$AA$2),"")</f>
        <v>#VALUE!</v>
      </c>
      <c r="N162" t="e">
        <f>IF(I162="No",CAL_LF(A162,G162,$A$2:$N$251,I162,$W$6,$AA$2),"")</f>
        <v>#VALUE!</v>
      </c>
      <c r="O162" t="e">
        <f>IF(I162="No",CAL_TF(K162,L162,N162,C162,$AA$2),"0")</f>
        <v>#VALUE!</v>
      </c>
      <c r="P162" s="33">
        <v>0</v>
      </c>
    </row>
    <row r="163" spans="1:16" x14ac:dyDescent="0.2">
      <c r="A163" s="8" t="s">
        <v>692</v>
      </c>
      <c r="B163" s="8" t="s">
        <v>1140</v>
      </c>
      <c r="C163">
        <f>IF(ISERROR(Resource_Table!C163/(Resource_Table!E163*J163)),0,ROUNDUP(Resource_Table!C163/(Resource_Table!E163*J163),0))</f>
        <v>30</v>
      </c>
      <c r="D163" s="8" t="s">
        <v>681</v>
      </c>
      <c r="F163">
        <v>0</v>
      </c>
      <c r="G163" t="str">
        <f t="shared" si="2"/>
        <v/>
      </c>
      <c r="H163" s="8" t="s">
        <v>1129</v>
      </c>
      <c r="I163" s="8" t="s">
        <v>72</v>
      </c>
      <c r="J163">
        <f>CAL_RESOURCE(Resource_Table!F163,PDM!S9)</f>
        <v>2</v>
      </c>
      <c r="K163" t="e">
        <f>IF(I163="No",CAL_ES(A163,D163,E163,F163,$A$2:$A$251,$C$2:$C$251,$K$2:$K$251,$L$2:$L$251,I163,$V$6,$AA$2,P163),"")</f>
        <v>#VALUE!</v>
      </c>
      <c r="L163" t="e">
        <f>IF(I163="No",CAL_EF(A163,D163,E163,F163,$A$2:$A$251,$C$2:$C$251,$K$2:$K$251,$L$2:$L$251,I163,$AA$2,P163),"")</f>
        <v>#VALUE!</v>
      </c>
      <c r="M163" t="e">
        <f>IF(I163="No",CAL_LS(A163,G163,$A$2:$N$251,I163,$AA$2),"")</f>
        <v>#VALUE!</v>
      </c>
      <c r="N163" t="e">
        <f>IF(I163="No",CAL_LF(A163,G163,$A$2:$N$251,I163,$W$6,$AA$2),"")</f>
        <v>#VALUE!</v>
      </c>
      <c r="O163" t="e">
        <f>IF(I163="No",CAL_TF(K163,L163,N163,C163,$AA$2),"0")</f>
        <v>#VALUE!</v>
      </c>
      <c r="P163" s="33">
        <v>0</v>
      </c>
    </row>
    <row r="164" spans="1:16" x14ac:dyDescent="0.2">
      <c r="A164" s="8" t="s">
        <v>694</v>
      </c>
      <c r="B164" s="8" t="s">
        <v>1141</v>
      </c>
      <c r="C164" s="6" t="s">
        <v>1033</v>
      </c>
      <c r="D164" s="8"/>
      <c r="F164">
        <v>0</v>
      </c>
      <c r="G164" t="str">
        <f t="shared" si="2"/>
        <v/>
      </c>
      <c r="H164" s="8"/>
      <c r="I164" s="8" t="s">
        <v>47</v>
      </c>
      <c r="J164" s="6"/>
      <c r="K164" t="str">
        <f>IF(I164="No",CAL_ES(A164,D164,E164,F164,$A$2:$A$251,$C$2:$C$251,$K$2:$K$251,$L$2:$L$251,I164,$V$6,$AA$2,P164),"")</f>
        <v/>
      </c>
      <c r="L164" t="str">
        <f>IF(I164="No",CAL_EF(A164,D164,E164,F164,$A$2:$A$251,$C$2:$C$251,$K$2:$K$251,$L$2:$L$251,I164,$AA$2,P164),"")</f>
        <v/>
      </c>
      <c r="M164" t="str">
        <f>IF(I164="No",CAL_LS(A164,G164,$A$2:$N$251,I164,$AA$2),"")</f>
        <v/>
      </c>
      <c r="N164" t="str">
        <f>IF(I164="No",CAL_LF(A164,G164,$A$2:$N$251,I164,$W$6,$AA$2),"")</f>
        <v/>
      </c>
      <c r="O164" t="str">
        <f>IF(I164="No",CAL_TF(K164,L164,N164,C164,$AA$2),"0")</f>
        <v>0</v>
      </c>
      <c r="P164" s="33">
        <v>0</v>
      </c>
    </row>
    <row r="165" spans="1:16" x14ac:dyDescent="0.2">
      <c r="A165" s="8" t="s">
        <v>696</v>
      </c>
      <c r="B165" s="8" t="s">
        <v>1142</v>
      </c>
      <c r="C165">
        <f>IF(ISERROR(Resource_Table!C165/(Resource_Table!E165*J165)),0,ROUNDUP(Resource_Table!C165/(Resource_Table!E165*J165),0))</f>
        <v>15</v>
      </c>
      <c r="D165" s="8" t="s">
        <v>1240</v>
      </c>
      <c r="F165">
        <v>0</v>
      </c>
      <c r="G165" t="str">
        <f t="shared" si="2"/>
        <v/>
      </c>
      <c r="H165" s="8" t="s">
        <v>1145</v>
      </c>
      <c r="I165" s="8" t="s">
        <v>72</v>
      </c>
      <c r="J165">
        <f>CAL_RESOURCE(Resource_Table!F165,PDM!S11)</f>
        <v>3</v>
      </c>
      <c r="K165" t="e">
        <f>IF(I165="No",CAL_ES(A165,D165,E165,F165,$A$2:$A$251,$C$2:$C$251,$K$2:$K$251,$L$2:$L$251,I165,$V$6,$AA$2,P165),"")</f>
        <v>#VALUE!</v>
      </c>
      <c r="L165" t="e">
        <f>IF(I165="No",CAL_EF(A165,D165,E165,F165,$A$2:$A$251,$C$2:$C$251,$K$2:$K$251,$L$2:$L$251,I165,$AA$2,P165),"")</f>
        <v>#VALUE!</v>
      </c>
      <c r="M165" t="e">
        <f>IF(I165="No",CAL_LS(A165,G165,$A$2:$N$251,I165,$AA$2),"")</f>
        <v>#VALUE!</v>
      </c>
      <c r="N165" t="e">
        <f>IF(I165="No",CAL_LF(A165,G165,$A$2:$N$251,I165,$W$6,$AA$2),"")</f>
        <v>#VALUE!</v>
      </c>
      <c r="O165" t="e">
        <f>IF(I165="No",CAL_TF(K165,L165,N165,C165,$AA$2),"0")</f>
        <v>#VALUE!</v>
      </c>
      <c r="P165" s="33">
        <v>0</v>
      </c>
    </row>
    <row r="166" spans="1:16" x14ac:dyDescent="0.2">
      <c r="A166" s="8" t="s">
        <v>698</v>
      </c>
      <c r="B166" s="8" t="s">
        <v>1268</v>
      </c>
      <c r="C166" s="6" t="s">
        <v>1033</v>
      </c>
      <c r="D166" s="8"/>
      <c r="F166">
        <v>0</v>
      </c>
      <c r="G166" t="str">
        <f t="shared" si="2"/>
        <v/>
      </c>
      <c r="H166" s="8"/>
      <c r="I166" s="8" t="s">
        <v>47</v>
      </c>
      <c r="J166" s="6"/>
      <c r="K166" t="str">
        <f>IF(I166="No",CAL_ES(A166,D166,E166,F166,$A$2:$A$251,$C$2:$C$251,$K$2:$K$251,$L$2:$L$251,I166,$V$6,$AA$2,P166),"")</f>
        <v/>
      </c>
      <c r="L166" t="str">
        <f>IF(I166="No",CAL_EF(A166,D166,E166,F166,$A$2:$A$251,$C$2:$C$251,$K$2:$K$251,$L$2:$L$251,I166,$AA$2,P166),"")</f>
        <v/>
      </c>
      <c r="M166" t="str">
        <f>IF(I166="No",CAL_LS(A166,G166,$A$2:$N$251,I166,$AA$2),"")</f>
        <v/>
      </c>
      <c r="N166" t="str">
        <f>IF(I166="No",CAL_LF(A166,G166,$A$2:$N$251,I166,$W$6,$AA$2),"")</f>
        <v/>
      </c>
      <c r="O166" t="str">
        <f>IF(I166="No",CAL_TF(K166,L166,N166,C166,$AA$2),"0")</f>
        <v>0</v>
      </c>
      <c r="P166" s="33">
        <v>0</v>
      </c>
    </row>
    <row r="167" spans="1:16" x14ac:dyDescent="0.2">
      <c r="A167" s="8" t="s">
        <v>704</v>
      </c>
      <c r="B167" s="8" t="s">
        <v>1151</v>
      </c>
      <c r="C167" s="6" t="s">
        <v>1033</v>
      </c>
      <c r="D167" s="8"/>
      <c r="F167">
        <v>0</v>
      </c>
      <c r="G167" t="str">
        <f t="shared" si="2"/>
        <v/>
      </c>
      <c r="H167" s="8"/>
      <c r="I167" s="8" t="s">
        <v>47</v>
      </c>
      <c r="J167" s="6"/>
      <c r="K167" t="str">
        <f>IF(I167="No",CAL_ES(A167,D167,E167,F167,$A$2:$A$251,$C$2:$C$251,$K$2:$K$251,$L$2:$L$251,I167,$V$6,$AA$2,P167),"")</f>
        <v/>
      </c>
      <c r="L167" t="str">
        <f>IF(I167="No",CAL_EF(A167,D167,E167,F167,$A$2:$A$251,$C$2:$C$251,$K$2:$K$251,$L$2:$L$251,I167,$AA$2,P167),"")</f>
        <v/>
      </c>
      <c r="M167" t="str">
        <f>IF(I167="No",CAL_LS(A167,G167,$A$2:$N$251,I167,$AA$2),"")</f>
        <v/>
      </c>
      <c r="N167" t="str">
        <f>IF(I167="No",CAL_LF(A167,G167,$A$2:$N$251,I167,$W$6,$AA$2),"")</f>
        <v/>
      </c>
      <c r="O167" t="str">
        <f>IF(I167="No",CAL_TF(K167,L167,N167,C167,$AA$2),"0")</f>
        <v>0</v>
      </c>
      <c r="P167" s="33">
        <v>0</v>
      </c>
    </row>
    <row r="168" spans="1:16" x14ac:dyDescent="0.2">
      <c r="A168" s="8" t="s">
        <v>707</v>
      </c>
      <c r="B168" s="8" t="s">
        <v>1142</v>
      </c>
      <c r="C168">
        <f>IF(ISERROR(Resource_Table!C168/(Resource_Table!E168*J168)),0,ROUNDUP(Resource_Table!C168/(Resource_Table!E168*J168),0))</f>
        <v>126</v>
      </c>
      <c r="D168" s="8" t="s">
        <v>1245</v>
      </c>
      <c r="F168">
        <v>0</v>
      </c>
      <c r="G168" t="str">
        <f t="shared" si="2"/>
        <v/>
      </c>
      <c r="H168" s="8" t="s">
        <v>1145</v>
      </c>
      <c r="I168" s="8" t="s">
        <v>72</v>
      </c>
      <c r="J168">
        <f>CAL_RESOURCE(Resource_Table!F168,PDM!S11)</f>
        <v>1</v>
      </c>
      <c r="K168" t="e">
        <f>IF(I168="No",CAL_ES(A168,D168,E168,F168,$A$2:$A$251,$C$2:$C$251,$K$2:$K$251,$L$2:$L$251,I168,$V$6,$AA$2,P168),"")</f>
        <v>#VALUE!</v>
      </c>
      <c r="L168" t="e">
        <f>IF(I168="No",CAL_EF(A168,D168,E168,F168,$A$2:$A$251,$C$2:$C$251,$K$2:$K$251,$L$2:$L$251,I168,$AA$2,P168),"")</f>
        <v>#VALUE!</v>
      </c>
      <c r="M168" t="e">
        <f>IF(I168="No",CAL_LS(A168,G168,$A$2:$N$251,I168,$AA$2),"")</f>
        <v>#VALUE!</v>
      </c>
      <c r="N168" t="e">
        <f>IF(I168="No",CAL_LF(A168,G168,$A$2:$N$251,I168,$W$6,$AA$2),"")</f>
        <v>#VALUE!</v>
      </c>
      <c r="O168" t="e">
        <f>IF(I168="No",CAL_TF(K168,L168,N168,C168,$AA$2),"0")</f>
        <v>#VALUE!</v>
      </c>
      <c r="P168" s="33">
        <v>0</v>
      </c>
    </row>
    <row r="169" spans="1:16" x14ac:dyDescent="0.2">
      <c r="A169" s="8" t="s">
        <v>709</v>
      </c>
      <c r="B169" s="8" t="s">
        <v>1156</v>
      </c>
      <c r="C169" s="6" t="s">
        <v>1033</v>
      </c>
      <c r="D169" s="8"/>
      <c r="F169">
        <v>0</v>
      </c>
      <c r="G169" t="str">
        <f t="shared" si="2"/>
        <v/>
      </c>
      <c r="H169" s="8"/>
      <c r="I169" s="8" t="s">
        <v>47</v>
      </c>
      <c r="J169" s="6"/>
      <c r="K169" t="str">
        <f>IF(I169="No",CAL_ES(A169,D169,E169,F169,$A$2:$A$251,$C$2:$C$251,$K$2:$K$251,$L$2:$L$251,I169,$V$6,$AA$2,P169),"")</f>
        <v/>
      </c>
      <c r="L169" t="str">
        <f>IF(I169="No",CAL_EF(A169,D169,E169,F169,$A$2:$A$251,$C$2:$C$251,$K$2:$K$251,$L$2:$L$251,I169,$AA$2,P169),"")</f>
        <v/>
      </c>
      <c r="M169" t="str">
        <f>IF(I169="No",CAL_LS(A169,G169,$A$2:$N$251,I169,$AA$2),"")</f>
        <v/>
      </c>
      <c r="N169" t="str">
        <f>IF(I169="No",CAL_LF(A169,G169,$A$2:$N$251,I169,$W$6,$AA$2),"")</f>
        <v/>
      </c>
      <c r="O169" t="str">
        <f>IF(I169="No",CAL_TF(K169,L169,N169,C169,$AA$2),"0")</f>
        <v>0</v>
      </c>
      <c r="P169" s="33">
        <v>0</v>
      </c>
    </row>
    <row r="170" spans="1:16" x14ac:dyDescent="0.2">
      <c r="A170" s="8" t="s">
        <v>712</v>
      </c>
      <c r="B170" s="8" t="s">
        <v>1142</v>
      </c>
      <c r="C170">
        <f>IF(ISERROR(Resource_Table!C170/(Resource_Table!E170*J170)),0,ROUNDUP(Resource_Table!C170/(Resource_Table!E170*J170),0))</f>
        <v>126</v>
      </c>
      <c r="D170" s="8" t="s">
        <v>1249</v>
      </c>
      <c r="F170">
        <v>0</v>
      </c>
      <c r="G170" t="str">
        <f t="shared" si="2"/>
        <v>170FS+300 days</v>
      </c>
      <c r="H170" s="8" t="s">
        <v>1145</v>
      </c>
      <c r="I170" s="8" t="s">
        <v>72</v>
      </c>
      <c r="J170">
        <f>CAL_RESOURCE(Resource_Table!F170,PDM!S11)</f>
        <v>1</v>
      </c>
      <c r="K170" t="e">
        <f>IF(I170="No",CAL_ES(A170,D170,E170,F170,$A$2:$A$251,$C$2:$C$251,$K$2:$K$251,$L$2:$L$251,I170,$V$6,$AA$2,P170),"")</f>
        <v>#VALUE!</v>
      </c>
      <c r="L170" t="e">
        <f>IF(I170="No",CAL_EF(A170,D170,E170,F170,$A$2:$A$251,$C$2:$C$251,$K$2:$K$251,$L$2:$L$251,I170,$AA$2,P170),"")</f>
        <v>#VALUE!</v>
      </c>
      <c r="M170" t="e">
        <f>IF(I170="No",CAL_LS(A170,G170,$A$2:$N$251,I170,$AA$2),"")</f>
        <v>#VALUE!</v>
      </c>
      <c r="N170" t="e">
        <f>IF(I170="No",CAL_LF(A170,G170,$A$2:$N$251,I170,$W$6,$AA$2),"")</f>
        <v>#VALUE!</v>
      </c>
      <c r="O170" t="e">
        <f>IF(I170="No",CAL_TF(K170,L170,N170,C170,$AA$2),"0")</f>
        <v>#VALUE!</v>
      </c>
      <c r="P170" s="33">
        <v>0</v>
      </c>
    </row>
    <row r="171" spans="1:16" x14ac:dyDescent="0.2">
      <c r="A171" s="8" t="s">
        <v>714</v>
      </c>
      <c r="B171" s="8" t="s">
        <v>1271</v>
      </c>
      <c r="C171">
        <f>IF(ISERROR(Resource_Table!C171/(Resource_Table!E171*J171)),0,ROUNDUP(Resource_Table!C171/(Resource_Table!E171*J171),0))</f>
        <v>75</v>
      </c>
      <c r="D171" s="8" t="s">
        <v>1272</v>
      </c>
      <c r="F171">
        <v>0</v>
      </c>
      <c r="G171" t="str">
        <f t="shared" si="2"/>
        <v/>
      </c>
      <c r="H171" s="8" t="s">
        <v>1145</v>
      </c>
      <c r="I171" s="8" t="s">
        <v>72</v>
      </c>
      <c r="J171">
        <f>CAL_RESOURCE(Resource_Table!F171,PDM!S11)</f>
        <v>1</v>
      </c>
      <c r="K171" t="e">
        <f>IF(I171="No",CAL_ES(A171,D171,E171,F171,$A$2:$A$251,$C$2:$C$251,$K$2:$K$251,$L$2:$L$251,I171,$V$6,$AA$2,P171),"")</f>
        <v>#VALUE!</v>
      </c>
      <c r="L171" t="e">
        <f>IF(I171="No",CAL_EF(A171,D171,E171,F171,$A$2:$A$251,$C$2:$C$251,$K$2:$K$251,$L$2:$L$251,I171,$AA$2,P171),"")</f>
        <v>#VALUE!</v>
      </c>
      <c r="M171" t="e">
        <f>IF(I171="No",CAL_LS(A171,G171,$A$2:$N$251,I171,$AA$2),"")</f>
        <v>#VALUE!</v>
      </c>
      <c r="N171" t="e">
        <f>IF(I171="No",CAL_LF(A171,G171,$A$2:$N$251,I171,$W$6,$AA$2),"")</f>
        <v>#VALUE!</v>
      </c>
      <c r="O171" t="e">
        <f>IF(I171="No",CAL_TF(K171,L171,N171,C171,$AA$2),"0")</f>
        <v>#VALUE!</v>
      </c>
      <c r="P171" s="33">
        <v>0</v>
      </c>
    </row>
    <row r="172" spans="1:16" x14ac:dyDescent="0.2">
      <c r="A172" s="8" t="s">
        <v>719</v>
      </c>
      <c r="B172" s="8" t="s">
        <v>1273</v>
      </c>
      <c r="C172" s="6" t="s">
        <v>1033</v>
      </c>
      <c r="D172" s="8"/>
      <c r="F172">
        <v>0</v>
      </c>
      <c r="G172" t="str">
        <f t="shared" si="2"/>
        <v/>
      </c>
      <c r="H172" s="8"/>
      <c r="I172" s="8" t="s">
        <v>47</v>
      </c>
      <c r="J172" s="6"/>
      <c r="K172" t="str">
        <f>IF(I172="No",CAL_ES(A172,D172,E172,F172,$A$2:$A$251,$C$2:$C$251,$K$2:$K$251,$L$2:$L$251,I172,$V$6,$AA$2,P172),"")</f>
        <v/>
      </c>
      <c r="L172" t="str">
        <f>IF(I172="No",CAL_EF(A172,D172,E172,F172,$A$2:$A$251,$C$2:$C$251,$K$2:$K$251,$L$2:$L$251,I172,$AA$2,P172),"")</f>
        <v/>
      </c>
      <c r="M172" t="str">
        <f>IF(I172="No",CAL_LS(A172,G172,$A$2:$N$251,I172,$AA$2),"")</f>
        <v/>
      </c>
      <c r="N172" t="str">
        <f>IF(I172="No",CAL_LF(A172,G172,$A$2:$N$251,I172,$W$6,$AA$2),"")</f>
        <v/>
      </c>
      <c r="O172" t="str">
        <f>IF(I172="No",CAL_TF(K172,L172,N172,C172,$AA$2),"0")</f>
        <v>0</v>
      </c>
      <c r="P172" s="33">
        <v>0</v>
      </c>
    </row>
    <row r="173" spans="1:16" x14ac:dyDescent="0.2">
      <c r="A173" s="8" t="s">
        <v>723</v>
      </c>
      <c r="B173" s="8" t="s">
        <v>1163</v>
      </c>
      <c r="C173">
        <f>IF(ISERROR(Resource_Table!C173/(Resource_Table!E173*J173)),0,ROUNDUP(Resource_Table!C173/(Resource_Table!E173*J173),0))</f>
        <v>60</v>
      </c>
      <c r="D173" s="8" t="s">
        <v>1274</v>
      </c>
      <c r="F173">
        <v>0</v>
      </c>
      <c r="G173" t="str">
        <f t="shared" si="2"/>
        <v/>
      </c>
      <c r="H173" s="8" t="s">
        <v>1165</v>
      </c>
      <c r="I173" s="8" t="s">
        <v>72</v>
      </c>
      <c r="J173">
        <f>CAL_RESOURCE(Resource_Table!F173,PDM!S12)</f>
        <v>2</v>
      </c>
      <c r="K173" t="e">
        <f>IF(I173="No",CAL_ES(A173,D173,E173,F173,$A$2:$A$251,$C$2:$C$251,$K$2:$K$251,$L$2:$L$251,I173,$V$6,$AA$2,P173),"")</f>
        <v>#VALUE!</v>
      </c>
      <c r="L173" t="e">
        <f>IF(I173="No",CAL_EF(A173,D173,E173,F173,$A$2:$A$251,$C$2:$C$251,$K$2:$K$251,$L$2:$L$251,I173,$AA$2,P173),"")</f>
        <v>#VALUE!</v>
      </c>
      <c r="M173" t="e">
        <f>IF(I173="No",CAL_LS(A173,G173,$A$2:$N$251,I173,$AA$2),"")</f>
        <v>#VALUE!</v>
      </c>
      <c r="N173" t="e">
        <f>IF(I173="No",CAL_LF(A173,G173,$A$2:$N$251,I173,$W$6,$AA$2),"")</f>
        <v>#VALUE!</v>
      </c>
      <c r="O173" t="e">
        <f>IF(I173="No",CAL_TF(K173,L173,N173,C173,$AA$2),"0")</f>
        <v>#VALUE!</v>
      </c>
      <c r="P173" s="33">
        <v>0</v>
      </c>
    </row>
    <row r="174" spans="1:16" x14ac:dyDescent="0.2">
      <c r="A174" s="8" t="s">
        <v>727</v>
      </c>
      <c r="B174" s="8" t="s">
        <v>1166</v>
      </c>
      <c r="C174">
        <f>IF(ISERROR(Resource_Table!C174/(Resource_Table!E174*J174)),0,ROUNDUP(Resource_Table!C174/(Resource_Table!E174*J174),0))</f>
        <v>60</v>
      </c>
      <c r="D174" s="8" t="s">
        <v>1274</v>
      </c>
      <c r="F174">
        <v>0</v>
      </c>
      <c r="G174" t="str">
        <f t="shared" si="2"/>
        <v/>
      </c>
      <c r="H174" s="8" t="s">
        <v>1165</v>
      </c>
      <c r="I174" s="8" t="s">
        <v>72</v>
      </c>
      <c r="J174">
        <f>CAL_RESOURCE(Resource_Table!F174,PDM!S12)</f>
        <v>1</v>
      </c>
      <c r="K174" t="e">
        <f>IF(I174="No",CAL_ES(A174,D174,E174,F174,$A$2:$A$251,$C$2:$C$251,$K$2:$K$251,$L$2:$L$251,I174,$V$6,$AA$2,P174),"")</f>
        <v>#VALUE!</v>
      </c>
      <c r="L174" t="e">
        <f>IF(I174="No",CAL_EF(A174,D174,E174,F174,$A$2:$A$251,$C$2:$C$251,$K$2:$K$251,$L$2:$L$251,I174,$AA$2,P174),"")</f>
        <v>#VALUE!</v>
      </c>
      <c r="M174" t="e">
        <f>IF(I174="No",CAL_LS(A174,G174,$A$2:$N$251,I174,$AA$2),"")</f>
        <v>#VALUE!</v>
      </c>
      <c r="N174" t="e">
        <f>IF(I174="No",CAL_LF(A174,G174,$A$2:$N$251,I174,$W$6,$AA$2),"")</f>
        <v>#VALUE!</v>
      </c>
      <c r="O174" t="e">
        <f>IF(I174="No",CAL_TF(K174,L174,N174,C174,$AA$2),"0")</f>
        <v>#VALUE!</v>
      </c>
      <c r="P174" s="33">
        <v>0</v>
      </c>
    </row>
    <row r="175" spans="1:16" x14ac:dyDescent="0.2">
      <c r="A175" s="8" t="s">
        <v>730</v>
      </c>
      <c r="B175" s="8" t="s">
        <v>1167</v>
      </c>
      <c r="C175">
        <f>IF(ISERROR(Resource_Table!C175/(Resource_Table!E175*J175)),0,ROUNDUP(Resource_Table!C175/(Resource_Table!E175*J175),0))</f>
        <v>80</v>
      </c>
      <c r="D175" s="8" t="s">
        <v>732</v>
      </c>
      <c r="F175">
        <v>0</v>
      </c>
      <c r="G175" t="str">
        <f t="shared" si="2"/>
        <v>172FS+7 days,173FS+7 days</v>
      </c>
      <c r="H175" s="8" t="s">
        <v>1165</v>
      </c>
      <c r="I175" s="8" t="s">
        <v>72</v>
      </c>
      <c r="J175">
        <f>CAL_RESOURCE(Resource_Table!F175,PDM!S12)</f>
        <v>1</v>
      </c>
      <c r="K175" t="e">
        <f>IF(I175="No",CAL_ES(A175,D175,E175,F175,$A$2:$A$251,$C$2:$C$251,$K$2:$K$251,$L$2:$L$251,I175,$V$6,$AA$2,P175),"")</f>
        <v>#VALUE!</v>
      </c>
      <c r="L175" t="e">
        <f>IF(I175="No",CAL_EF(A175,D175,E175,F175,$A$2:$A$251,$C$2:$C$251,$K$2:$K$251,$L$2:$L$251,I175,$AA$2,P175),"")</f>
        <v>#VALUE!</v>
      </c>
      <c r="M175" t="e">
        <f>IF(I175="No",CAL_LS(A175,G175,$A$2:$N$251,I175,$AA$2),"")</f>
        <v>#VALUE!</v>
      </c>
      <c r="N175" t="e">
        <f>IF(I175="No",CAL_LF(A175,G175,$A$2:$N$251,I175,$W$6,$AA$2),"")</f>
        <v>#VALUE!</v>
      </c>
      <c r="O175" t="e">
        <f>IF(I175="No",CAL_TF(K175,L175,N175,C175,$AA$2),"0")</f>
        <v>#VALUE!</v>
      </c>
      <c r="P175" s="33">
        <v>0</v>
      </c>
    </row>
    <row r="176" spans="1:16" x14ac:dyDescent="0.2">
      <c r="A176" s="8" t="s">
        <v>735</v>
      </c>
      <c r="B176" s="8" t="s">
        <v>1170</v>
      </c>
      <c r="C176">
        <f>IF(ISERROR(Resource_Table!C176/(Resource_Table!E176*J176)),0,ROUNDUP(Resource_Table!C176/(Resource_Table!E176*J176),0))</f>
        <v>80</v>
      </c>
      <c r="D176" s="8" t="s">
        <v>732</v>
      </c>
      <c r="F176">
        <v>0</v>
      </c>
      <c r="G176" t="str">
        <f t="shared" si="2"/>
        <v/>
      </c>
      <c r="H176" s="8" t="s">
        <v>1165</v>
      </c>
      <c r="I176" s="8" t="s">
        <v>72</v>
      </c>
      <c r="J176">
        <f>CAL_RESOURCE(Resource_Table!F176,PDM!S12)</f>
        <v>1</v>
      </c>
      <c r="K176" t="e">
        <f>IF(I176="No",CAL_ES(A176,D176,E176,F176,$A$2:$A$251,$C$2:$C$251,$K$2:$K$251,$L$2:$L$251,I176,$V$6,$AA$2,P176),"")</f>
        <v>#VALUE!</v>
      </c>
      <c r="L176" t="e">
        <f>IF(I176="No",CAL_EF(A176,D176,E176,F176,$A$2:$A$251,$C$2:$C$251,$K$2:$K$251,$L$2:$L$251,I176,$AA$2,P176),"")</f>
        <v>#VALUE!</v>
      </c>
      <c r="M176" t="e">
        <f>IF(I176="No",CAL_LS(A176,G176,$A$2:$N$251,I176,$AA$2),"")</f>
        <v>#VALUE!</v>
      </c>
      <c r="N176" t="e">
        <f>IF(I176="No",CAL_LF(A176,G176,$A$2:$N$251,I176,$W$6,$AA$2),"")</f>
        <v>#VALUE!</v>
      </c>
      <c r="O176" t="e">
        <f>IF(I176="No",CAL_TF(K176,L176,N176,C176,$AA$2),"0")</f>
        <v>#VALUE!</v>
      </c>
      <c r="P176" s="33">
        <v>0</v>
      </c>
    </row>
    <row r="177" spans="1:16" x14ac:dyDescent="0.2">
      <c r="A177" s="8" t="s">
        <v>737</v>
      </c>
      <c r="B177" s="8" t="s">
        <v>1172</v>
      </c>
      <c r="C177">
        <f>IF(ISERROR(Resource_Table!C177/(Resource_Table!E177*J177)),0,ROUNDUP(Resource_Table!C177/(Resource_Table!E177*J177),0))</f>
        <v>80</v>
      </c>
      <c r="D177" s="8" t="s">
        <v>732</v>
      </c>
      <c r="F177">
        <v>0</v>
      </c>
      <c r="G177" t="str">
        <f t="shared" si="2"/>
        <v/>
      </c>
      <c r="H177" s="8" t="s">
        <v>1165</v>
      </c>
      <c r="I177" s="8" t="s">
        <v>72</v>
      </c>
      <c r="J177">
        <f>CAL_RESOURCE(Resource_Table!F177,PDM!S12)</f>
        <v>1</v>
      </c>
      <c r="K177" t="e">
        <f>IF(I177="No",CAL_ES(A177,D177,E177,F177,$A$2:$A$251,$C$2:$C$251,$K$2:$K$251,$L$2:$L$251,I177,$V$6,$AA$2,P177),"")</f>
        <v>#VALUE!</v>
      </c>
      <c r="L177" t="e">
        <f>IF(I177="No",CAL_EF(A177,D177,E177,F177,$A$2:$A$251,$C$2:$C$251,$K$2:$K$251,$L$2:$L$251,I177,$AA$2,P177),"")</f>
        <v>#VALUE!</v>
      </c>
      <c r="M177" t="e">
        <f>IF(I177="No",CAL_LS(A177,G177,$A$2:$N$251,I177,$AA$2),"")</f>
        <v>#VALUE!</v>
      </c>
      <c r="N177" t="e">
        <f>IF(I177="No",CAL_LF(A177,G177,$A$2:$N$251,I177,$W$6,$AA$2),"")</f>
        <v>#VALUE!</v>
      </c>
      <c r="O177" t="e">
        <f>IF(I177="No",CAL_TF(K177,L177,N177,C177,$AA$2),"0")</f>
        <v>#VALUE!</v>
      </c>
      <c r="P177" s="33">
        <v>0</v>
      </c>
    </row>
    <row r="178" spans="1:16" x14ac:dyDescent="0.2">
      <c r="A178" s="8" t="s">
        <v>739</v>
      </c>
      <c r="B178" s="8" t="s">
        <v>1277</v>
      </c>
      <c r="C178">
        <f>IF(ISERROR(Resource_Table!C178/(Resource_Table!E178*J178)),0,ROUNDUP(Resource_Table!C178/(Resource_Table!E178*J178),0))</f>
        <v>165</v>
      </c>
      <c r="D178" s="8" t="s">
        <v>732</v>
      </c>
      <c r="F178">
        <v>0</v>
      </c>
      <c r="G178" t="str">
        <f t="shared" si="2"/>
        <v/>
      </c>
      <c r="H178" s="8" t="s">
        <v>1134</v>
      </c>
      <c r="I178" s="8" t="s">
        <v>72</v>
      </c>
      <c r="J178">
        <f>CAL_RESOURCE(Resource_Table!F178,PDM!S10)</f>
        <v>2</v>
      </c>
      <c r="K178" t="e">
        <f>IF(I178="No",CAL_ES(A178,D178,E178,F178,$A$2:$A$251,$C$2:$C$251,$K$2:$K$251,$L$2:$L$251,I178,$V$6,$AA$2,P178),"")</f>
        <v>#VALUE!</v>
      </c>
      <c r="L178" t="e">
        <f>IF(I178="No",CAL_EF(A178,D178,E178,F178,$A$2:$A$251,$C$2:$C$251,$K$2:$K$251,$L$2:$L$251,I178,$AA$2,P178),"")</f>
        <v>#VALUE!</v>
      </c>
      <c r="M178" t="e">
        <f>IF(I178="No",CAL_LS(A178,G178,$A$2:$N$251,I178,$AA$2),"")</f>
        <v>#VALUE!</v>
      </c>
      <c r="N178" t="e">
        <f>IF(I178="No",CAL_LF(A178,G178,$A$2:$N$251,I178,$W$6,$AA$2),"")</f>
        <v>#VALUE!</v>
      </c>
      <c r="O178" t="e">
        <f>IF(I178="No",CAL_TF(K178,L178,N178,C178,$AA$2),"0")</f>
        <v>#VALUE!</v>
      </c>
      <c r="P178" s="33">
        <v>0</v>
      </c>
    </row>
    <row r="179" spans="1:16" x14ac:dyDescent="0.2">
      <c r="A179" s="8" t="s">
        <v>742</v>
      </c>
      <c r="B179" s="8" t="s">
        <v>1278</v>
      </c>
      <c r="C179" s="6" t="s">
        <v>1033</v>
      </c>
      <c r="D179" s="8"/>
      <c r="F179">
        <v>0</v>
      </c>
      <c r="G179" t="str">
        <f t="shared" si="2"/>
        <v/>
      </c>
      <c r="H179" s="8"/>
      <c r="I179" s="8" t="s">
        <v>47</v>
      </c>
      <c r="J179" s="6"/>
      <c r="K179" t="str">
        <f>IF(I179="No",CAL_ES(A179,D179,E179,F179,$A$2:$A$251,$C$2:$C$251,$K$2:$K$251,$L$2:$L$251,I179,$V$6,$AA$2,P179),"")</f>
        <v/>
      </c>
      <c r="L179" t="str">
        <f>IF(I179="No",CAL_EF(A179,D179,E179,F179,$A$2:$A$251,$C$2:$C$251,$K$2:$K$251,$L$2:$L$251,I179,$AA$2,P179),"")</f>
        <v/>
      </c>
      <c r="M179" t="str">
        <f>IF(I179="No",CAL_LS(A179,G179,$A$2:$N$251,I179,$AA$2),"")</f>
        <v/>
      </c>
      <c r="N179" t="str">
        <f>IF(I179="No",CAL_LF(A179,G179,$A$2:$N$251,I179,$W$6,$AA$2),"")</f>
        <v/>
      </c>
      <c r="O179" t="str">
        <f>IF(I179="No",CAL_TF(K179,L179,N179,C179,$AA$2),"0")</f>
        <v>0</v>
      </c>
      <c r="P179" s="33">
        <v>0</v>
      </c>
    </row>
    <row r="180" spans="1:16" x14ac:dyDescent="0.2">
      <c r="A180" s="8" t="s">
        <v>748</v>
      </c>
      <c r="B180" s="8" t="s">
        <v>1280</v>
      </c>
      <c r="C180" s="6" t="s">
        <v>1033</v>
      </c>
      <c r="D180" s="8"/>
      <c r="F180">
        <v>0</v>
      </c>
      <c r="G180" t="str">
        <f t="shared" si="2"/>
        <v/>
      </c>
      <c r="H180" s="8"/>
      <c r="I180" s="8" t="s">
        <v>47</v>
      </c>
      <c r="J180" s="6"/>
      <c r="K180" t="str">
        <f>IF(I180="No",CAL_ES(A180,D180,E180,F180,$A$2:$A$251,$C$2:$C$251,$K$2:$K$251,$L$2:$L$251,I180,$V$6,$AA$2,P180),"")</f>
        <v/>
      </c>
      <c r="L180" t="str">
        <f>IF(I180="No",CAL_EF(A180,D180,E180,F180,$A$2:$A$251,$C$2:$C$251,$K$2:$K$251,$L$2:$L$251,I180,$AA$2,P180),"")</f>
        <v/>
      </c>
      <c r="M180" t="str">
        <f>IF(I180="No",CAL_LS(A180,G180,$A$2:$N$251,I180,$AA$2),"")</f>
        <v/>
      </c>
      <c r="N180" t="str">
        <f>IF(I180="No",CAL_LF(A180,G180,$A$2:$N$251,I180,$W$6,$AA$2),"")</f>
        <v/>
      </c>
      <c r="O180" t="str">
        <f>IF(I180="No",CAL_TF(K180,L180,N180,C180,$AA$2),"0")</f>
        <v>0</v>
      </c>
      <c r="P180" s="33">
        <v>0</v>
      </c>
    </row>
    <row r="181" spans="1:16" x14ac:dyDescent="0.2">
      <c r="A181" s="8" t="s">
        <v>751</v>
      </c>
      <c r="B181" s="8" t="s">
        <v>1085</v>
      </c>
      <c r="C181">
        <f>IF(ISERROR(Resource_Table!C181/(Resource_Table!E181*J181)),0,ROUNDUP(Resource_Table!C181/(Resource_Table!E181*J181),0))</f>
        <v>160</v>
      </c>
      <c r="D181" s="8" t="s">
        <v>1281</v>
      </c>
      <c r="F181">
        <v>0</v>
      </c>
      <c r="G181" t="str">
        <f t="shared" si="2"/>
        <v>181</v>
      </c>
      <c r="H181" s="8" t="s">
        <v>1165</v>
      </c>
      <c r="I181" s="8" t="s">
        <v>72</v>
      </c>
      <c r="J181">
        <f>CAL_RESOURCE(Resource_Table!F181,PDM!S12)</f>
        <v>2</v>
      </c>
      <c r="K181" t="e">
        <f>IF(I181="No",CAL_ES(A181,D181,E181,F181,$A$2:$A$251,$C$2:$C$251,$K$2:$K$251,$L$2:$L$251,I181,$V$6,$AA$2,P181),"")</f>
        <v>#VALUE!</v>
      </c>
      <c r="L181" t="e">
        <f>IF(I181="No",CAL_EF(A181,D181,E181,F181,$A$2:$A$251,$C$2:$C$251,$K$2:$K$251,$L$2:$L$251,I181,$AA$2,P181),"")</f>
        <v>#VALUE!</v>
      </c>
      <c r="M181" t="e">
        <f>IF(I181="No",CAL_LS(A181,G181,$A$2:$N$251,I181,$AA$2),"")</f>
        <v>#VALUE!</v>
      </c>
      <c r="N181" t="e">
        <f>IF(I181="No",CAL_LF(A181,G181,$A$2:$N$251,I181,$W$6,$AA$2),"")</f>
        <v>#VALUE!</v>
      </c>
      <c r="O181" t="e">
        <f>IF(I181="No",CAL_TF(K181,L181,N181,C181,$AA$2),"0")</f>
        <v>#VALUE!</v>
      </c>
      <c r="P181" s="33">
        <v>0</v>
      </c>
    </row>
    <row r="182" spans="1:16" x14ac:dyDescent="0.2">
      <c r="A182" s="8" t="s">
        <v>755</v>
      </c>
      <c r="B182" s="8" t="s">
        <v>1087</v>
      </c>
      <c r="C182">
        <f>IF(ISERROR(Resource_Table!C182/(Resource_Table!E182*J182)),0,ROUNDUP(Resource_Table!C182/(Resource_Table!E182*J182),0))</f>
        <v>175</v>
      </c>
      <c r="D182" s="8" t="s">
        <v>751</v>
      </c>
      <c r="F182">
        <v>0</v>
      </c>
      <c r="G182" t="str">
        <f t="shared" si="2"/>
        <v>182</v>
      </c>
      <c r="H182" s="8" t="s">
        <v>1165</v>
      </c>
      <c r="I182" s="8" t="s">
        <v>72</v>
      </c>
      <c r="J182">
        <f>CAL_RESOURCE(Resource_Table!F182,PDM!S12)</f>
        <v>2</v>
      </c>
      <c r="K182" t="e">
        <f>IF(I182="No",CAL_ES(A182,D182,E182,F182,$A$2:$A$251,$C$2:$C$251,$K$2:$K$251,$L$2:$L$251,I182,$V$6,$AA$2,P182),"")</f>
        <v>#VALUE!</v>
      </c>
      <c r="L182" t="e">
        <f>IF(I182="No",CAL_EF(A182,D182,E182,F182,$A$2:$A$251,$C$2:$C$251,$K$2:$K$251,$L$2:$L$251,I182,$AA$2,P182),"")</f>
        <v>#VALUE!</v>
      </c>
      <c r="M182" t="e">
        <f>IF(I182="No",CAL_LS(A182,G182,$A$2:$N$251,I182,$AA$2),"")</f>
        <v>#VALUE!</v>
      </c>
      <c r="N182" t="e">
        <f>IF(I182="No",CAL_LF(A182,G182,$A$2:$N$251,I182,$W$6,$AA$2),"")</f>
        <v>#VALUE!</v>
      </c>
      <c r="O182" t="e">
        <f>IF(I182="No",CAL_TF(K182,L182,N182,C182,$AA$2),"0")</f>
        <v>#VALUE!</v>
      </c>
      <c r="P182" s="33">
        <v>0</v>
      </c>
    </row>
    <row r="183" spans="1:16" x14ac:dyDescent="0.2">
      <c r="A183" s="8" t="s">
        <v>762</v>
      </c>
      <c r="B183" s="8" t="s">
        <v>1090</v>
      </c>
      <c r="C183">
        <f>IF(ISERROR(Resource_Table!C183/(Resource_Table!E183*J183)),0,ROUNDUP(Resource_Table!C183/(Resource_Table!E183*J183),0))</f>
        <v>175</v>
      </c>
      <c r="D183" s="8" t="s">
        <v>755</v>
      </c>
      <c r="F183">
        <v>0</v>
      </c>
      <c r="G183" t="str">
        <f t="shared" si="2"/>
        <v>183,184</v>
      </c>
      <c r="H183" s="8" t="s">
        <v>1165</v>
      </c>
      <c r="I183" s="8" t="s">
        <v>72</v>
      </c>
      <c r="J183">
        <f>CAL_RESOURCE(Resource_Table!F183,PDM!S12)</f>
        <v>2</v>
      </c>
      <c r="K183" t="e">
        <f>IF(I183="No",CAL_ES(A183,D183,E183,F183,$A$2:$A$251,$C$2:$C$251,$K$2:$K$251,$L$2:$L$251,I183,$V$6,$AA$2,P183),"")</f>
        <v>#VALUE!</v>
      </c>
      <c r="L183" t="e">
        <f>IF(I183="No",CAL_EF(A183,D183,E183,F183,$A$2:$A$251,$C$2:$C$251,$K$2:$K$251,$L$2:$L$251,I183,$AA$2,P183),"")</f>
        <v>#VALUE!</v>
      </c>
      <c r="M183" t="e">
        <f>IF(I183="No",CAL_LS(A183,G183,$A$2:$N$251,I183,$AA$2),"")</f>
        <v>#VALUE!</v>
      </c>
      <c r="N183" t="e">
        <f>IF(I183="No",CAL_LF(A183,G183,$A$2:$N$251,I183,$W$6,$AA$2),"")</f>
        <v>#VALUE!</v>
      </c>
      <c r="O183" t="e">
        <f>IF(I183="No",CAL_TF(K183,L183,N183,C183,$AA$2),"0")</f>
        <v>#VALUE!</v>
      </c>
      <c r="P183" s="33">
        <v>0</v>
      </c>
    </row>
    <row r="184" spans="1:16" x14ac:dyDescent="0.2">
      <c r="A184" s="8" t="s">
        <v>777</v>
      </c>
      <c r="B184" s="8" t="s">
        <v>1092</v>
      </c>
      <c r="C184">
        <f>IF(ISERROR(Resource_Table!C184/(Resource_Table!E184*J184)),0,ROUNDUP(Resource_Table!C184/(Resource_Table!E184*J184),0))</f>
        <v>160</v>
      </c>
      <c r="D184" s="8" t="s">
        <v>762</v>
      </c>
      <c r="F184">
        <v>0</v>
      </c>
      <c r="G184" t="str">
        <f t="shared" si="2"/>
        <v/>
      </c>
      <c r="H184" s="8" t="s">
        <v>1165</v>
      </c>
      <c r="I184" s="8" t="s">
        <v>72</v>
      </c>
      <c r="J184">
        <f>CAL_RESOURCE(Resource_Table!F184,PDM!S12)</f>
        <v>2</v>
      </c>
      <c r="K184" t="e">
        <f>IF(I184="No",CAL_ES(A184,D184,E184,F184,$A$2:$A$251,$C$2:$C$251,$K$2:$K$251,$L$2:$L$251,I184,$V$6,$AA$2,P184),"")</f>
        <v>#VALUE!</v>
      </c>
      <c r="L184" t="e">
        <f>IF(I184="No",CAL_EF(A184,D184,E184,F184,$A$2:$A$251,$C$2:$C$251,$K$2:$K$251,$L$2:$L$251,I184,$AA$2,P184),"")</f>
        <v>#VALUE!</v>
      </c>
      <c r="M184" t="e">
        <f>IF(I184="No",CAL_LS(A184,G184,$A$2:$N$251,I184,$AA$2),"")</f>
        <v>#VALUE!</v>
      </c>
      <c r="N184" t="e">
        <f>IF(I184="No",CAL_LF(A184,G184,$A$2:$N$251,I184,$W$6,$AA$2),"")</f>
        <v>#VALUE!</v>
      </c>
      <c r="O184" t="e">
        <f>IF(I184="No",CAL_TF(K184,L184,N184,C184,$AA$2),"0")</f>
        <v>#VALUE!</v>
      </c>
      <c r="P184" s="33">
        <v>0</v>
      </c>
    </row>
    <row r="185" spans="1:16" x14ac:dyDescent="0.2">
      <c r="A185" s="8" t="s">
        <v>783</v>
      </c>
      <c r="B185" s="8" t="s">
        <v>1122</v>
      </c>
      <c r="C185">
        <f>IF(ISERROR(Resource_Table!C185/(Resource_Table!E185*J185)),0,ROUNDUP(Resource_Table!C185/(Resource_Table!E185*J185),0))</f>
        <v>160</v>
      </c>
      <c r="D185" s="8" t="s">
        <v>762</v>
      </c>
      <c r="F185">
        <v>0</v>
      </c>
      <c r="G185" t="str">
        <f t="shared" si="2"/>
        <v/>
      </c>
      <c r="H185" s="8" t="s">
        <v>1165</v>
      </c>
      <c r="I185" s="8" t="s">
        <v>72</v>
      </c>
      <c r="J185">
        <f>CAL_RESOURCE(Resource_Table!F185,PDM!S12)</f>
        <v>2</v>
      </c>
      <c r="K185" t="e">
        <f>IF(I185="No",CAL_ES(A185,D185,E185,F185,$A$2:$A$251,$C$2:$C$251,$K$2:$K$251,$L$2:$L$251,I185,$V$6,$AA$2,P185),"")</f>
        <v>#VALUE!</v>
      </c>
      <c r="L185" t="e">
        <f>IF(I185="No",CAL_EF(A185,D185,E185,F185,$A$2:$A$251,$C$2:$C$251,$K$2:$K$251,$L$2:$L$251,I185,$AA$2,P185),"")</f>
        <v>#VALUE!</v>
      </c>
      <c r="M185" t="e">
        <f>IF(I185="No",CAL_LS(A185,G185,$A$2:$N$251,I185,$AA$2),"")</f>
        <v>#VALUE!</v>
      </c>
      <c r="N185" t="e">
        <f>IF(I185="No",CAL_LF(A185,G185,$A$2:$N$251,I185,$W$6,$AA$2),"")</f>
        <v>#VALUE!</v>
      </c>
      <c r="O185" t="e">
        <f>IF(I185="No",CAL_TF(K185,L185,N185,C185,$AA$2),"0")</f>
        <v>#VALUE!</v>
      </c>
      <c r="P185" s="33">
        <v>0</v>
      </c>
    </row>
    <row r="186" spans="1:16" x14ac:dyDescent="0.2">
      <c r="A186" s="8" t="s">
        <v>786</v>
      </c>
      <c r="B186" s="8" t="s">
        <v>1282</v>
      </c>
      <c r="C186" s="6" t="s">
        <v>1033</v>
      </c>
      <c r="D186" s="8"/>
      <c r="F186">
        <v>0</v>
      </c>
      <c r="G186" t="str">
        <f t="shared" si="2"/>
        <v/>
      </c>
      <c r="H186" s="8"/>
      <c r="I186" s="8" t="s">
        <v>47</v>
      </c>
      <c r="J186" s="6"/>
      <c r="K186" t="str">
        <f>IF(I186="No",CAL_ES(A186,D186,E186,F186,$A$2:$A$251,$C$2:$C$251,$K$2:$K$251,$L$2:$L$251,I186,$V$6,$AA$2,P186),"")</f>
        <v/>
      </c>
      <c r="L186" t="str">
        <f>IF(I186="No",CAL_EF(A186,D186,E186,F186,$A$2:$A$251,$C$2:$C$251,$K$2:$K$251,$L$2:$L$251,I186,$AA$2,P186),"")</f>
        <v/>
      </c>
      <c r="M186" t="str">
        <f>IF(I186="No",CAL_LS(A186,G186,$A$2:$N$251,I186,$AA$2),"")</f>
        <v/>
      </c>
      <c r="N186" t="str">
        <f>IF(I186="No",CAL_LF(A186,G186,$A$2:$N$251,I186,$W$6,$AA$2),"")</f>
        <v/>
      </c>
      <c r="O186" t="str">
        <f>IF(I186="No",CAL_TF(K186,L186,N186,C186,$AA$2),"0")</f>
        <v>0</v>
      </c>
      <c r="P186" s="33">
        <v>0</v>
      </c>
    </row>
    <row r="187" spans="1:16" x14ac:dyDescent="0.2">
      <c r="A187" s="8" t="s">
        <v>789</v>
      </c>
      <c r="B187" s="8" t="s">
        <v>1085</v>
      </c>
      <c r="C187">
        <f>IF(ISERROR(Resource_Table!C187/(Resource_Table!E187*J187)),0,ROUNDUP(Resource_Table!C187/(Resource_Table!E187*J187),0))</f>
        <v>160</v>
      </c>
      <c r="D187" s="8" t="s">
        <v>1281</v>
      </c>
      <c r="F187">
        <v>0</v>
      </c>
      <c r="G187" t="str">
        <f t="shared" si="2"/>
        <v>187</v>
      </c>
      <c r="H187" s="8" t="s">
        <v>1165</v>
      </c>
      <c r="I187" s="8" t="s">
        <v>72</v>
      </c>
      <c r="J187">
        <f>CAL_RESOURCE(Resource_Table!F187,PDM!S12)</f>
        <v>1</v>
      </c>
      <c r="K187" t="e">
        <f>IF(I187="No",CAL_ES(A187,D187,E187,F187,$A$2:$A$251,$C$2:$C$251,$K$2:$K$251,$L$2:$L$251,I187,$V$6,$AA$2,P187),"")</f>
        <v>#VALUE!</v>
      </c>
      <c r="L187" t="e">
        <f>IF(I187="No",CAL_EF(A187,D187,E187,F187,$A$2:$A$251,$C$2:$C$251,$K$2:$K$251,$L$2:$L$251,I187,$AA$2,P187),"")</f>
        <v>#VALUE!</v>
      </c>
      <c r="M187" t="e">
        <f>IF(I187="No",CAL_LS(A187,G187,$A$2:$N$251,I187,$AA$2),"")</f>
        <v>#VALUE!</v>
      </c>
      <c r="N187" t="e">
        <f>IF(I187="No",CAL_LF(A187,G187,$A$2:$N$251,I187,$W$6,$AA$2),"")</f>
        <v>#VALUE!</v>
      </c>
      <c r="O187" t="e">
        <f>IF(I187="No",CAL_TF(K187,L187,N187,C187,$AA$2),"0")</f>
        <v>#VALUE!</v>
      </c>
      <c r="P187" s="33">
        <v>0</v>
      </c>
    </row>
    <row r="188" spans="1:16" x14ac:dyDescent="0.2">
      <c r="A188" s="8" t="s">
        <v>791</v>
      </c>
      <c r="B188" s="8" t="s">
        <v>1087</v>
      </c>
      <c r="C188">
        <f>IF(ISERROR(Resource_Table!C188/(Resource_Table!E188*J188)),0,ROUNDUP(Resource_Table!C188/(Resource_Table!E188*J188),0))</f>
        <v>175</v>
      </c>
      <c r="D188" s="8" t="s">
        <v>789</v>
      </c>
      <c r="F188">
        <v>0</v>
      </c>
      <c r="G188" t="str">
        <f t="shared" si="2"/>
        <v>188</v>
      </c>
      <c r="H188" s="8" t="s">
        <v>1165</v>
      </c>
      <c r="I188" s="8" t="s">
        <v>72</v>
      </c>
      <c r="J188">
        <f>CAL_RESOURCE(Resource_Table!F188,PDM!S12)</f>
        <v>1</v>
      </c>
      <c r="K188" t="e">
        <f>IF(I188="No",CAL_ES(A188,D188,E188,F188,$A$2:$A$251,$C$2:$C$251,$K$2:$K$251,$L$2:$L$251,I188,$V$6,$AA$2,P188),"")</f>
        <v>#VALUE!</v>
      </c>
      <c r="L188" t="e">
        <f>IF(I188="No",CAL_EF(A188,D188,E188,F188,$A$2:$A$251,$C$2:$C$251,$K$2:$K$251,$L$2:$L$251,I188,$AA$2,P188),"")</f>
        <v>#VALUE!</v>
      </c>
      <c r="M188" t="e">
        <f>IF(I188="No",CAL_LS(A188,G188,$A$2:$N$251,I188,$AA$2),"")</f>
        <v>#VALUE!</v>
      </c>
      <c r="N188" t="e">
        <f>IF(I188="No",CAL_LF(A188,G188,$A$2:$N$251,I188,$W$6,$AA$2),"")</f>
        <v>#VALUE!</v>
      </c>
      <c r="O188" t="e">
        <f>IF(I188="No",CAL_TF(K188,L188,N188,C188,$AA$2),"0")</f>
        <v>#VALUE!</v>
      </c>
      <c r="P188" s="33">
        <v>0</v>
      </c>
    </row>
    <row r="189" spans="1:16" x14ac:dyDescent="0.2">
      <c r="A189" s="8" t="s">
        <v>793</v>
      </c>
      <c r="B189" s="8" t="s">
        <v>1090</v>
      </c>
      <c r="C189">
        <f>IF(ISERROR(Resource_Table!C189/(Resource_Table!E189*J189)),0,ROUNDUP(Resource_Table!C189/(Resource_Table!E189*J189),0))</f>
        <v>175</v>
      </c>
      <c r="D189" s="8" t="s">
        <v>791</v>
      </c>
      <c r="F189">
        <v>0</v>
      </c>
      <c r="G189" t="str">
        <f t="shared" si="2"/>
        <v>189,190</v>
      </c>
      <c r="H189" s="8" t="s">
        <v>1165</v>
      </c>
      <c r="I189" s="8" t="s">
        <v>72</v>
      </c>
      <c r="J189">
        <f>CAL_RESOURCE(Resource_Table!F189,PDM!S12)</f>
        <v>1</v>
      </c>
      <c r="K189" t="e">
        <f>IF(I189="No",CAL_ES(A189,D189,E189,F189,$A$2:$A$251,$C$2:$C$251,$K$2:$K$251,$L$2:$L$251,I189,$V$6,$AA$2,P189),"")</f>
        <v>#VALUE!</v>
      </c>
      <c r="L189" t="e">
        <f>IF(I189="No",CAL_EF(A189,D189,E189,F189,$A$2:$A$251,$C$2:$C$251,$K$2:$K$251,$L$2:$L$251,I189,$AA$2,P189),"")</f>
        <v>#VALUE!</v>
      </c>
      <c r="M189" t="e">
        <f>IF(I189="No",CAL_LS(A189,G189,$A$2:$N$251,I189,$AA$2),"")</f>
        <v>#VALUE!</v>
      </c>
      <c r="N189" t="e">
        <f>IF(I189="No",CAL_LF(A189,G189,$A$2:$N$251,I189,$W$6,$AA$2),"")</f>
        <v>#VALUE!</v>
      </c>
      <c r="O189" t="e">
        <f>IF(I189="No",CAL_TF(K189,L189,N189,C189,$AA$2),"0")</f>
        <v>#VALUE!</v>
      </c>
      <c r="P189" s="33">
        <v>0</v>
      </c>
    </row>
    <row r="190" spans="1:16" x14ac:dyDescent="0.2">
      <c r="A190" s="8" t="s">
        <v>796</v>
      </c>
      <c r="B190" s="8" t="s">
        <v>1092</v>
      </c>
      <c r="C190">
        <f>IF(ISERROR(Resource_Table!C190/(Resource_Table!E190*J190)),0,ROUNDUP(Resource_Table!C190/(Resource_Table!E190*J190),0))</f>
        <v>160</v>
      </c>
      <c r="D190" s="8" t="s">
        <v>793</v>
      </c>
      <c r="F190">
        <v>0</v>
      </c>
      <c r="G190" t="str">
        <f t="shared" si="2"/>
        <v/>
      </c>
      <c r="H190" s="8" t="s">
        <v>1165</v>
      </c>
      <c r="I190" s="8" t="s">
        <v>72</v>
      </c>
      <c r="J190">
        <f>CAL_RESOURCE(Resource_Table!F190,PDM!S12)</f>
        <v>1</v>
      </c>
      <c r="K190" t="e">
        <f>IF(I190="No",CAL_ES(A190,D190,E190,F190,$A$2:$A$251,$C$2:$C$251,$K$2:$K$251,$L$2:$L$251,I190,$V$6,$AA$2,P190),"")</f>
        <v>#VALUE!</v>
      </c>
      <c r="L190" t="e">
        <f>IF(I190="No",CAL_EF(A190,D190,E190,F190,$A$2:$A$251,$C$2:$C$251,$K$2:$K$251,$L$2:$L$251,I190,$AA$2,P190),"")</f>
        <v>#VALUE!</v>
      </c>
      <c r="M190" t="e">
        <f>IF(I190="No",CAL_LS(A190,G190,$A$2:$N$251,I190,$AA$2),"")</f>
        <v>#VALUE!</v>
      </c>
      <c r="N190" t="e">
        <f>IF(I190="No",CAL_LF(A190,G190,$A$2:$N$251,I190,$W$6,$AA$2),"")</f>
        <v>#VALUE!</v>
      </c>
      <c r="O190" t="e">
        <f>IF(I190="No",CAL_TF(K190,L190,N190,C190,$AA$2),"0")</f>
        <v>#VALUE!</v>
      </c>
      <c r="P190" s="33">
        <v>0</v>
      </c>
    </row>
    <row r="191" spans="1:16" x14ac:dyDescent="0.2">
      <c r="A191" s="8" t="s">
        <v>798</v>
      </c>
      <c r="B191" s="8" t="s">
        <v>1122</v>
      </c>
      <c r="C191">
        <f>IF(ISERROR(Resource_Table!C191/(Resource_Table!E191*J191)),0,ROUNDUP(Resource_Table!C191/(Resource_Table!E191*J191),0))</f>
        <v>160</v>
      </c>
      <c r="D191" s="8" t="s">
        <v>793</v>
      </c>
      <c r="F191">
        <v>0</v>
      </c>
      <c r="G191" t="str">
        <f t="shared" si="2"/>
        <v/>
      </c>
      <c r="H191" s="8" t="s">
        <v>1165</v>
      </c>
      <c r="I191" s="8" t="s">
        <v>72</v>
      </c>
      <c r="J191">
        <f>CAL_RESOURCE(Resource_Table!F191,PDM!S12)</f>
        <v>1</v>
      </c>
      <c r="K191" t="e">
        <f>IF(I191="No",CAL_ES(A191,D191,E191,F191,$A$2:$A$251,$C$2:$C$251,$K$2:$K$251,$L$2:$L$251,I191,$V$6,$AA$2,P191),"")</f>
        <v>#VALUE!</v>
      </c>
      <c r="L191" t="e">
        <f>IF(I191="No",CAL_EF(A191,D191,E191,F191,$A$2:$A$251,$C$2:$C$251,$K$2:$K$251,$L$2:$L$251,I191,$AA$2,P191),"")</f>
        <v>#VALUE!</v>
      </c>
      <c r="M191" t="e">
        <f>IF(I191="No",CAL_LS(A191,G191,$A$2:$N$251,I191,$AA$2),"")</f>
        <v>#VALUE!</v>
      </c>
      <c r="N191" t="e">
        <f>IF(I191="No",CAL_LF(A191,G191,$A$2:$N$251,I191,$W$6,$AA$2),"")</f>
        <v>#VALUE!</v>
      </c>
      <c r="O191" t="e">
        <f>IF(I191="No",CAL_TF(K191,L191,N191,C191,$AA$2),"0")</f>
        <v>#VALUE!</v>
      </c>
      <c r="P191" s="33">
        <v>0</v>
      </c>
    </row>
    <row r="192" spans="1:16" x14ac:dyDescent="0.2">
      <c r="A192" s="8" t="s">
        <v>800</v>
      </c>
      <c r="B192" s="8" t="s">
        <v>1283</v>
      </c>
      <c r="C192" s="6" t="s">
        <v>1033</v>
      </c>
      <c r="D192" s="8"/>
      <c r="F192">
        <v>0</v>
      </c>
      <c r="G192" t="str">
        <f t="shared" si="2"/>
        <v/>
      </c>
      <c r="H192" s="8"/>
      <c r="I192" s="8" t="s">
        <v>47</v>
      </c>
      <c r="J192" s="6"/>
      <c r="K192" t="str">
        <f>IF(I192="No",CAL_ES(A192,D192,E192,F192,$A$2:$A$251,$C$2:$C$251,$K$2:$K$251,$L$2:$L$251,I192,$V$6,$AA$2,P192),"")</f>
        <v/>
      </c>
      <c r="L192" t="str">
        <f>IF(I192="No",CAL_EF(A192,D192,E192,F192,$A$2:$A$251,$C$2:$C$251,$K$2:$K$251,$L$2:$L$251,I192,$AA$2,P192),"")</f>
        <v/>
      </c>
      <c r="M192" t="str">
        <f>IF(I192="No",CAL_LS(A192,G192,$A$2:$N$251,I192,$AA$2),"")</f>
        <v/>
      </c>
      <c r="N192" t="str">
        <f>IF(I192="No",CAL_LF(A192,G192,$A$2:$N$251,I192,$W$6,$AA$2),"")</f>
        <v/>
      </c>
      <c r="O192" t="str">
        <f>IF(I192="No",CAL_TF(K192,L192,N192,C192,$AA$2),"0")</f>
        <v>0</v>
      </c>
      <c r="P192" s="33">
        <v>0</v>
      </c>
    </row>
    <row r="193" spans="1:16" x14ac:dyDescent="0.2">
      <c r="A193" s="8" t="s">
        <v>804</v>
      </c>
      <c r="B193" s="8" t="s">
        <v>1285</v>
      </c>
      <c r="C193" s="6" t="s">
        <v>1033</v>
      </c>
      <c r="D193" s="8"/>
      <c r="F193">
        <v>0</v>
      </c>
      <c r="G193" t="str">
        <f t="shared" si="2"/>
        <v/>
      </c>
      <c r="H193" s="8"/>
      <c r="I193" s="8" t="s">
        <v>47</v>
      </c>
      <c r="J193" s="6"/>
      <c r="K193" t="str">
        <f>IF(I193="No",CAL_ES(A193,D193,E193,F193,$A$2:$A$251,$C$2:$C$251,$K$2:$K$251,$L$2:$L$251,I193,$V$6,$AA$2,P193),"")</f>
        <v/>
      </c>
      <c r="L193" t="str">
        <f>IF(I193="No",CAL_EF(A193,D193,E193,F193,$A$2:$A$251,$C$2:$C$251,$K$2:$K$251,$L$2:$L$251,I193,$AA$2,P193),"")</f>
        <v/>
      </c>
      <c r="M193" t="str">
        <f>IF(I193="No",CAL_LS(A193,G193,$A$2:$N$251,I193,$AA$2),"")</f>
        <v/>
      </c>
      <c r="N193" t="str">
        <f>IF(I193="No",CAL_LF(A193,G193,$A$2:$N$251,I193,$W$6,$AA$2),"")</f>
        <v/>
      </c>
      <c r="O193" t="str">
        <f>IF(I193="No",CAL_TF(K193,L193,N193,C193,$AA$2),"0")</f>
        <v>0</v>
      </c>
      <c r="P193" s="33">
        <v>0</v>
      </c>
    </row>
    <row r="194" spans="1:16" x14ac:dyDescent="0.2">
      <c r="A194" s="8" t="s">
        <v>807</v>
      </c>
      <c r="B194" s="8" t="s">
        <v>1286</v>
      </c>
      <c r="C194">
        <f>IF(ISERROR(Resource_Table!C194/(Resource_Table!E194*J194)),0,ROUNDUP(Resource_Table!C194/(Resource_Table!E194*J194),0))</f>
        <v>165</v>
      </c>
      <c r="D194" s="8" t="s">
        <v>661</v>
      </c>
      <c r="F194">
        <v>0</v>
      </c>
      <c r="G194" t="str">
        <f t="shared" ref="G194:G251" si="3">FIND_Successor(A194,$D$2:$D$251,$E$2:$E$251,$F$2:$F$251)</f>
        <v/>
      </c>
      <c r="H194" s="8" t="s">
        <v>1129</v>
      </c>
      <c r="I194" s="8" t="s">
        <v>72</v>
      </c>
      <c r="J194">
        <f>CAL_RESOURCE(Resource_Table!F194,PDM!S9)</f>
        <v>1</v>
      </c>
      <c r="K194" t="e">
        <f>IF(I194="No",CAL_ES(A194,D194,E194,F194,$A$2:$A$251,$C$2:$C$251,$K$2:$K$251,$L$2:$L$251,I194,$V$6,$AA$2,P194),"")</f>
        <v>#VALUE!</v>
      </c>
      <c r="L194" t="e">
        <f>IF(I194="No",CAL_EF(A194,D194,E194,F194,$A$2:$A$251,$C$2:$C$251,$K$2:$K$251,$L$2:$L$251,I194,$AA$2,P194),"")</f>
        <v>#VALUE!</v>
      </c>
      <c r="M194" t="e">
        <f>IF(I194="No",CAL_LS(A194,G194,$A$2:$N$251,I194,$AA$2),"")</f>
        <v>#VALUE!</v>
      </c>
      <c r="N194" t="e">
        <f>IF(I194="No",CAL_LF(A194,G194,$A$2:$N$251,I194,$W$6,$AA$2),"")</f>
        <v>#VALUE!</v>
      </c>
      <c r="O194" t="e">
        <f>IF(I194="No",CAL_TF(K194,L194,N194,C194,$AA$2),"0")</f>
        <v>#VALUE!</v>
      </c>
      <c r="P194" s="33">
        <v>0</v>
      </c>
    </row>
    <row r="195" spans="1:16" x14ac:dyDescent="0.2">
      <c r="A195" s="8" t="s">
        <v>810</v>
      </c>
      <c r="B195" s="8" t="s">
        <v>1287</v>
      </c>
      <c r="C195">
        <f>IF(ISERROR(Resource_Table!C195/(Resource_Table!E195*J195)),0,ROUNDUP(Resource_Table!C195/(Resource_Table!E195*J195),0))</f>
        <v>165</v>
      </c>
      <c r="D195" s="8" t="s">
        <v>661</v>
      </c>
      <c r="F195">
        <v>0</v>
      </c>
      <c r="G195" t="str">
        <f t="shared" si="3"/>
        <v/>
      </c>
      <c r="H195" s="8" t="s">
        <v>1129</v>
      </c>
      <c r="I195" s="8" t="s">
        <v>72</v>
      </c>
      <c r="J195">
        <f>CAL_RESOURCE(Resource_Table!F195,PDM!S9)</f>
        <v>1</v>
      </c>
      <c r="K195" t="e">
        <f>IF(I195="No",CAL_ES(A195,D195,E195,F195,$A$2:$A$251,$C$2:$C$251,$K$2:$K$251,$L$2:$L$251,I195,$V$6,$AA$2,P195),"")</f>
        <v>#VALUE!</v>
      </c>
      <c r="L195" t="e">
        <f>IF(I195="No",CAL_EF(A195,D195,E195,F195,$A$2:$A$251,$C$2:$C$251,$K$2:$K$251,$L$2:$L$251,I195,$AA$2,P195),"")</f>
        <v>#VALUE!</v>
      </c>
      <c r="M195" t="e">
        <f>IF(I195="No",CAL_LS(A195,G195,$A$2:$N$251,I195,$AA$2),"")</f>
        <v>#VALUE!</v>
      </c>
      <c r="N195" t="e">
        <f>IF(I195="No",CAL_LF(A195,G195,$A$2:$N$251,I195,$W$6,$AA$2),"")</f>
        <v>#VALUE!</v>
      </c>
      <c r="O195" t="e">
        <f>IF(I195="No",CAL_TF(K195,L195,N195,C195,$AA$2),"0")</f>
        <v>#VALUE!</v>
      </c>
      <c r="P195" s="33">
        <v>0</v>
      </c>
    </row>
    <row r="196" spans="1:16" x14ac:dyDescent="0.2">
      <c r="A196" s="8" t="s">
        <v>813</v>
      </c>
      <c r="B196" s="8" t="s">
        <v>1288</v>
      </c>
      <c r="C196">
        <f>IF(ISERROR(Resource_Table!C196/(Resource_Table!E196*J196)),0,ROUNDUP(Resource_Table!C196/(Resource_Table!E196*J196),0))</f>
        <v>165</v>
      </c>
      <c r="D196" s="8" t="s">
        <v>661</v>
      </c>
      <c r="F196">
        <v>0</v>
      </c>
      <c r="G196" t="str">
        <f t="shared" si="3"/>
        <v/>
      </c>
      <c r="H196" s="8" t="s">
        <v>1129</v>
      </c>
      <c r="I196" s="8" t="s">
        <v>72</v>
      </c>
      <c r="J196">
        <f>CAL_RESOURCE(Resource_Table!F196,PDM!S9)</f>
        <v>1</v>
      </c>
      <c r="K196" t="e">
        <f>IF(I196="No",CAL_ES(A196,D196,E196,F196,$A$2:$A$251,$C$2:$C$251,$K$2:$K$251,$L$2:$L$251,I196,$V$6,$AA$2,P196),"")</f>
        <v>#VALUE!</v>
      </c>
      <c r="L196" t="e">
        <f>IF(I196="No",CAL_EF(A196,D196,E196,F196,$A$2:$A$251,$C$2:$C$251,$K$2:$K$251,$L$2:$L$251,I196,$AA$2,P196),"")</f>
        <v>#VALUE!</v>
      </c>
      <c r="M196" t="e">
        <f>IF(I196="No",CAL_LS(A196,G196,$A$2:$N$251,I196,$AA$2),"")</f>
        <v>#VALUE!</v>
      </c>
      <c r="N196" t="e">
        <f>IF(I196="No",CAL_LF(A196,G196,$A$2:$N$251,I196,$W$6,$AA$2),"")</f>
        <v>#VALUE!</v>
      </c>
      <c r="O196" t="e">
        <f>IF(I196="No",CAL_TF(K196,L196,N196,C196,$AA$2),"0")</f>
        <v>#VALUE!</v>
      </c>
      <c r="P196" s="33">
        <v>0</v>
      </c>
    </row>
    <row r="197" spans="1:16" x14ac:dyDescent="0.2">
      <c r="A197" s="8" t="s">
        <v>816</v>
      </c>
      <c r="B197" s="8" t="s">
        <v>1289</v>
      </c>
      <c r="C197">
        <f>IF(ISERROR(Resource_Table!C197/(Resource_Table!E197*J197)),0,ROUNDUP(Resource_Table!C197/(Resource_Table!E197*J197),0))</f>
        <v>165</v>
      </c>
      <c r="D197" s="8" t="s">
        <v>661</v>
      </c>
      <c r="F197">
        <v>0</v>
      </c>
      <c r="G197" t="str">
        <f t="shared" si="3"/>
        <v/>
      </c>
      <c r="H197" s="8" t="s">
        <v>1129</v>
      </c>
      <c r="I197" s="8" t="s">
        <v>72</v>
      </c>
      <c r="J197">
        <f>CAL_RESOURCE(Resource_Table!F197,PDM!S9)</f>
        <v>1</v>
      </c>
      <c r="K197" t="e">
        <f>IF(I197="No",CAL_ES(A197,D197,E197,F197,$A$2:$A$251,$C$2:$C$251,$K$2:$K$251,$L$2:$L$251,I197,$V$6,$AA$2,P197),"")</f>
        <v>#VALUE!</v>
      </c>
      <c r="L197" t="e">
        <f>IF(I197="No",CAL_EF(A197,D197,E197,F197,$A$2:$A$251,$C$2:$C$251,$K$2:$K$251,$L$2:$L$251,I197,$AA$2,P197),"")</f>
        <v>#VALUE!</v>
      </c>
      <c r="M197" t="e">
        <f>IF(I197="No",CAL_LS(A197,G197,$A$2:$N$251,I197,$AA$2),"")</f>
        <v>#VALUE!</v>
      </c>
      <c r="N197" t="e">
        <f>IF(I197="No",CAL_LF(A197,G197,$A$2:$N$251,I197,$W$6,$AA$2),"")</f>
        <v>#VALUE!</v>
      </c>
      <c r="O197" t="e">
        <f>IF(I197="No",CAL_TF(K197,L197,N197,C197,$AA$2),"0")</f>
        <v>#VALUE!</v>
      </c>
      <c r="P197" s="33">
        <v>0</v>
      </c>
    </row>
    <row r="198" spans="1:16" x14ac:dyDescent="0.2">
      <c r="A198" s="8" t="s">
        <v>819</v>
      </c>
      <c r="B198" s="8" t="s">
        <v>1290</v>
      </c>
      <c r="C198">
        <f>IF(ISERROR(Resource_Table!C198/(Resource_Table!E198*J198)),0,ROUNDUP(Resource_Table!C198/(Resource_Table!E198*J198),0))</f>
        <v>165</v>
      </c>
      <c r="D198" s="8" t="s">
        <v>661</v>
      </c>
      <c r="F198">
        <v>0</v>
      </c>
      <c r="G198" t="str">
        <f t="shared" si="3"/>
        <v/>
      </c>
      <c r="H198" s="8" t="s">
        <v>1129</v>
      </c>
      <c r="I198" s="8" t="s">
        <v>72</v>
      </c>
      <c r="J198">
        <f>CAL_RESOURCE(Resource_Table!F198,PDM!S9)</f>
        <v>1</v>
      </c>
      <c r="K198" t="e">
        <f>IF(I198="No",CAL_ES(A198,D198,E198,F198,$A$2:$A$251,$C$2:$C$251,$K$2:$K$251,$L$2:$L$251,I198,$V$6,$AA$2,P198),"")</f>
        <v>#VALUE!</v>
      </c>
      <c r="L198" t="e">
        <f>IF(I198="No",CAL_EF(A198,D198,E198,F198,$A$2:$A$251,$C$2:$C$251,$K$2:$K$251,$L$2:$L$251,I198,$AA$2,P198),"")</f>
        <v>#VALUE!</v>
      </c>
      <c r="M198" t="e">
        <f>IF(I198="No",CAL_LS(A198,G198,$A$2:$N$251,I198,$AA$2),"")</f>
        <v>#VALUE!</v>
      </c>
      <c r="N198" t="e">
        <f>IF(I198="No",CAL_LF(A198,G198,$A$2:$N$251,I198,$W$6,$AA$2),"")</f>
        <v>#VALUE!</v>
      </c>
      <c r="O198" t="e">
        <f>IF(I198="No",CAL_TF(K198,L198,N198,C198,$AA$2),"0")</f>
        <v>#VALUE!</v>
      </c>
      <c r="P198" s="33">
        <v>0</v>
      </c>
    </row>
    <row r="199" spans="1:16" x14ac:dyDescent="0.2">
      <c r="A199" s="8" t="s">
        <v>822</v>
      </c>
      <c r="B199" s="8" t="s">
        <v>1291</v>
      </c>
      <c r="C199">
        <f>IF(ISERROR(Resource_Table!C199/(Resource_Table!E199*J199)),0,ROUNDUP(Resource_Table!C199/(Resource_Table!E199*J199),0))</f>
        <v>90</v>
      </c>
      <c r="D199" s="8" t="s">
        <v>1281</v>
      </c>
      <c r="F199">
        <v>0</v>
      </c>
      <c r="G199" t="str">
        <f t="shared" si="3"/>
        <v/>
      </c>
      <c r="H199" s="8" t="s">
        <v>1129</v>
      </c>
      <c r="I199" s="8" t="s">
        <v>72</v>
      </c>
      <c r="J199">
        <f>CAL_RESOURCE(Resource_Table!F199,PDM!S9)</f>
        <v>1</v>
      </c>
      <c r="K199" t="e">
        <f>IF(I199="No",CAL_ES(A199,D199,E199,F199,$A$2:$A$251,$C$2:$C$251,$K$2:$K$251,$L$2:$L$251,I199,$V$6,$AA$2,P199),"")</f>
        <v>#VALUE!</v>
      </c>
      <c r="L199" t="e">
        <f>IF(I199="No",CAL_EF(A199,D199,E199,F199,$A$2:$A$251,$C$2:$C$251,$K$2:$K$251,$L$2:$L$251,I199,$AA$2,P199),"")</f>
        <v>#VALUE!</v>
      </c>
      <c r="M199" t="e">
        <f>IF(I199="No",CAL_LS(A199,G199,$A$2:$N$251,I199,$AA$2),"")</f>
        <v>#VALUE!</v>
      </c>
      <c r="N199" t="e">
        <f>IF(I199="No",CAL_LF(A199,G199,$A$2:$N$251,I199,$W$6,$AA$2),"")</f>
        <v>#VALUE!</v>
      </c>
      <c r="O199" t="e">
        <f>IF(I199="No",CAL_TF(K199,L199,N199,C199,$AA$2),"0")</f>
        <v>#VALUE!</v>
      </c>
      <c r="P199" s="33">
        <v>0</v>
      </c>
    </row>
    <row r="200" spans="1:16" x14ac:dyDescent="0.2">
      <c r="A200" s="8" t="s">
        <v>828</v>
      </c>
      <c r="B200" s="8" t="s">
        <v>1293</v>
      </c>
      <c r="C200">
        <f>IF(ISERROR(Resource_Table!C200/(Resource_Table!E200*J200)),0,ROUNDUP(Resource_Table!C200/(Resource_Table!E200*J200),0))</f>
        <v>90</v>
      </c>
      <c r="D200" s="8" t="s">
        <v>1281</v>
      </c>
      <c r="F200">
        <v>0</v>
      </c>
      <c r="G200" t="str">
        <f t="shared" si="3"/>
        <v/>
      </c>
      <c r="H200" s="8" t="s">
        <v>1129</v>
      </c>
      <c r="I200" s="8" t="s">
        <v>72</v>
      </c>
      <c r="J200">
        <f>CAL_RESOURCE(Resource_Table!F200,PDM!S9)</f>
        <v>1</v>
      </c>
      <c r="K200" t="e">
        <f>IF(I200="No",CAL_ES(A200,D200,E200,F200,$A$2:$A$251,$C$2:$C$251,$K$2:$K$251,$L$2:$L$251,I200,$V$6,$AA$2,P200),"")</f>
        <v>#VALUE!</v>
      </c>
      <c r="L200" t="e">
        <f>IF(I200="No",CAL_EF(A200,D200,E200,F200,$A$2:$A$251,$C$2:$C$251,$K$2:$K$251,$L$2:$L$251,I200,$AA$2,P200),"")</f>
        <v>#VALUE!</v>
      </c>
      <c r="M200" t="e">
        <f>IF(I200="No",CAL_LS(A200,G200,$A$2:$N$251,I200,$AA$2),"")</f>
        <v>#VALUE!</v>
      </c>
      <c r="N200" t="e">
        <f>IF(I200="No",CAL_LF(A200,G200,$A$2:$N$251,I200,$W$6,$AA$2),"")</f>
        <v>#VALUE!</v>
      </c>
      <c r="O200" t="e">
        <f>IF(I200="No",CAL_TF(K200,L200,N200,C200,$AA$2),"0")</f>
        <v>#VALUE!</v>
      </c>
      <c r="P200" s="33">
        <v>0</v>
      </c>
    </row>
    <row r="201" spans="1:16" x14ac:dyDescent="0.2">
      <c r="A201" s="8" t="s">
        <v>831</v>
      </c>
      <c r="B201" s="8" t="s">
        <v>1294</v>
      </c>
      <c r="C201">
        <f>IF(ISERROR(Resource_Table!C201/(Resource_Table!E201*J201)),0,ROUNDUP(Resource_Table!C201/(Resource_Table!E201*J201),0))</f>
        <v>90</v>
      </c>
      <c r="D201" s="8" t="s">
        <v>1281</v>
      </c>
      <c r="F201">
        <v>0</v>
      </c>
      <c r="G201" t="str">
        <f t="shared" si="3"/>
        <v/>
      </c>
      <c r="H201" s="8" t="s">
        <v>1129</v>
      </c>
      <c r="I201" s="8" t="s">
        <v>72</v>
      </c>
      <c r="J201">
        <f>CAL_RESOURCE(Resource_Table!F201,PDM!S9)</f>
        <v>1</v>
      </c>
      <c r="K201" t="e">
        <f>IF(I201="No",CAL_ES(A201,D201,E201,F201,$A$2:$A$251,$C$2:$C$251,$K$2:$K$251,$L$2:$L$251,I201,$V$6,$AA$2,P201),"")</f>
        <v>#VALUE!</v>
      </c>
      <c r="L201" t="e">
        <f>IF(I201="No",CAL_EF(A201,D201,E201,F201,$A$2:$A$251,$C$2:$C$251,$K$2:$K$251,$L$2:$L$251,I201,$AA$2,P201),"")</f>
        <v>#VALUE!</v>
      </c>
      <c r="M201" t="e">
        <f>IF(I201="No",CAL_LS(A201,G201,$A$2:$N$251,I201,$AA$2),"")</f>
        <v>#VALUE!</v>
      </c>
      <c r="N201" t="e">
        <f>IF(I201="No",CAL_LF(A201,G201,$A$2:$N$251,I201,$W$6,$AA$2),"")</f>
        <v>#VALUE!</v>
      </c>
      <c r="O201" t="e">
        <f>IF(I201="No",CAL_TF(K201,L201,N201,C201,$AA$2),"0")</f>
        <v>#VALUE!</v>
      </c>
      <c r="P201" s="33">
        <v>0</v>
      </c>
    </row>
    <row r="202" spans="1:16" x14ac:dyDescent="0.2">
      <c r="A202" s="8" t="s">
        <v>834</v>
      </c>
      <c r="B202" s="8" t="s">
        <v>1295</v>
      </c>
      <c r="C202" s="6" t="s">
        <v>1033</v>
      </c>
      <c r="D202" s="8"/>
      <c r="F202">
        <v>0</v>
      </c>
      <c r="G202" t="str">
        <f t="shared" si="3"/>
        <v/>
      </c>
      <c r="H202" s="8"/>
      <c r="I202" s="8" t="s">
        <v>47</v>
      </c>
      <c r="J202" s="6"/>
      <c r="K202" t="str">
        <f>IF(I202="No",CAL_ES(A202,D202,E202,F202,$A$2:$A$251,$C$2:$C$251,$K$2:$K$251,$L$2:$L$251,I202,$V$6,$AA$2,P202),"")</f>
        <v/>
      </c>
      <c r="L202" t="str">
        <f>IF(I202="No",CAL_EF(A202,D202,E202,F202,$A$2:$A$251,$C$2:$C$251,$K$2:$K$251,$L$2:$L$251,I202,$AA$2,P202),"")</f>
        <v/>
      </c>
      <c r="M202" t="str">
        <f>IF(I202="No",CAL_LS(A202,G202,$A$2:$N$251,I202,$AA$2),"")</f>
        <v/>
      </c>
      <c r="N202" t="str">
        <f>IF(I202="No",CAL_LF(A202,G202,$A$2:$N$251,I202,$W$6,$AA$2),"")</f>
        <v/>
      </c>
      <c r="O202" t="str">
        <f>IF(I202="No",CAL_TF(K202,L202,N202,C202,$AA$2),"0")</f>
        <v>0</v>
      </c>
      <c r="P202" s="33">
        <v>0</v>
      </c>
    </row>
    <row r="203" spans="1:16" x14ac:dyDescent="0.2">
      <c r="A203" s="8" t="s">
        <v>837</v>
      </c>
      <c r="B203" s="8" t="s">
        <v>1296</v>
      </c>
      <c r="C203">
        <f>IF(ISERROR(Resource_Table!C203/(Resource_Table!E203*J203)),0,ROUNDUP(Resource_Table!C203/(Resource_Table!E203*J203),0))</f>
        <v>165</v>
      </c>
      <c r="D203" s="8" t="s">
        <v>661</v>
      </c>
      <c r="F203">
        <v>0</v>
      </c>
      <c r="G203" t="str">
        <f t="shared" si="3"/>
        <v/>
      </c>
      <c r="H203" s="8" t="s">
        <v>1129</v>
      </c>
      <c r="I203" s="8" t="s">
        <v>72</v>
      </c>
      <c r="J203">
        <f>CAL_RESOURCE(Resource_Table!F203,PDM!S9)</f>
        <v>1</v>
      </c>
      <c r="K203" t="e">
        <f>IF(I203="No",CAL_ES(A203,D203,E203,F203,$A$2:$A$251,$C$2:$C$251,$K$2:$K$251,$L$2:$L$251,I203,$V$6,$AA$2,P203),"")</f>
        <v>#VALUE!</v>
      </c>
      <c r="L203" t="e">
        <f>IF(I203="No",CAL_EF(A203,D203,E203,F203,$A$2:$A$251,$C$2:$C$251,$K$2:$K$251,$L$2:$L$251,I203,$AA$2,P203),"")</f>
        <v>#VALUE!</v>
      </c>
      <c r="M203" t="e">
        <f>IF(I203="No",CAL_LS(A203,G203,$A$2:$N$251,I203,$AA$2),"")</f>
        <v>#VALUE!</v>
      </c>
      <c r="N203" t="e">
        <f>IF(I203="No",CAL_LF(A203,G203,$A$2:$N$251,I203,$W$6,$AA$2),"")</f>
        <v>#VALUE!</v>
      </c>
      <c r="O203" t="e">
        <f>IF(I203="No",CAL_TF(K203,L203,N203,C203,$AA$2),"0")</f>
        <v>#VALUE!</v>
      </c>
      <c r="P203" s="33">
        <v>0</v>
      </c>
    </row>
    <row r="204" spans="1:16" x14ac:dyDescent="0.2">
      <c r="A204" s="8" t="s">
        <v>840</v>
      </c>
      <c r="B204" s="8" t="s">
        <v>1297</v>
      </c>
      <c r="C204" s="6" t="s">
        <v>1033</v>
      </c>
      <c r="D204" s="8"/>
      <c r="F204">
        <v>0</v>
      </c>
      <c r="G204" t="str">
        <f t="shared" si="3"/>
        <v/>
      </c>
      <c r="H204" s="8"/>
      <c r="I204" s="8" t="s">
        <v>47</v>
      </c>
      <c r="J204" s="6"/>
      <c r="K204" t="str">
        <f>IF(I204="No",CAL_ES(A204,D204,E204,F204,$A$2:$A$251,$C$2:$C$251,$K$2:$K$251,$L$2:$L$251,I204,$V$6,$AA$2,P204),"")</f>
        <v/>
      </c>
      <c r="L204" t="str">
        <f>IF(I204="No",CAL_EF(A204,D204,E204,F204,$A$2:$A$251,$C$2:$C$251,$K$2:$K$251,$L$2:$L$251,I204,$AA$2,P204),"")</f>
        <v/>
      </c>
      <c r="M204" t="str">
        <f>IF(I204="No",CAL_LS(A204,G204,$A$2:$N$251,I204,$AA$2),"")</f>
        <v/>
      </c>
      <c r="N204" t="str">
        <f>IF(I204="No",CAL_LF(A204,G204,$A$2:$N$251,I204,$W$6,$AA$2),"")</f>
        <v/>
      </c>
      <c r="O204" t="str">
        <f>IF(I204="No",CAL_TF(K204,L204,N204,C204,$AA$2),"0")</f>
        <v>0</v>
      </c>
      <c r="P204" s="33">
        <v>0</v>
      </c>
    </row>
    <row r="205" spans="1:16" x14ac:dyDescent="0.2">
      <c r="A205" s="8" t="s">
        <v>843</v>
      </c>
      <c r="B205" s="8" t="s">
        <v>1298</v>
      </c>
      <c r="C205">
        <f>IF(ISERROR(Resource_Table!C205/(Resource_Table!E205*J205)),0,ROUNDUP(Resource_Table!C205/(Resource_Table!E205*J205),0))</f>
        <v>165</v>
      </c>
      <c r="D205" s="8" t="s">
        <v>661</v>
      </c>
      <c r="F205">
        <v>0</v>
      </c>
      <c r="G205" t="str">
        <f t="shared" si="3"/>
        <v/>
      </c>
      <c r="H205" s="8" t="s">
        <v>1129</v>
      </c>
      <c r="I205" s="8" t="s">
        <v>72</v>
      </c>
      <c r="J205">
        <f>CAL_RESOURCE(Resource_Table!F205,PDM!S9)</f>
        <v>1</v>
      </c>
      <c r="K205" t="e">
        <f>IF(I205="No",CAL_ES(A205,D205,E205,F205,$A$2:$A$251,$C$2:$C$251,$K$2:$K$251,$L$2:$L$251,I205,$V$6,$AA$2,P205),"")</f>
        <v>#VALUE!</v>
      </c>
      <c r="L205" t="e">
        <f>IF(I205="No",CAL_EF(A205,D205,E205,F205,$A$2:$A$251,$C$2:$C$251,$K$2:$K$251,$L$2:$L$251,I205,$AA$2,P205),"")</f>
        <v>#VALUE!</v>
      </c>
      <c r="M205" t="e">
        <f>IF(I205="No",CAL_LS(A205,G205,$A$2:$N$251,I205,$AA$2),"")</f>
        <v>#VALUE!</v>
      </c>
      <c r="N205" t="e">
        <f>IF(I205="No",CAL_LF(A205,G205,$A$2:$N$251,I205,$W$6,$AA$2),"")</f>
        <v>#VALUE!</v>
      </c>
      <c r="O205" t="e">
        <f>IF(I205="No",CAL_TF(K205,L205,N205,C205,$AA$2),"0")</f>
        <v>#VALUE!</v>
      </c>
      <c r="P205" s="33">
        <v>0</v>
      </c>
    </row>
    <row r="206" spans="1:16" x14ac:dyDescent="0.2">
      <c r="A206" s="8" t="s">
        <v>846</v>
      </c>
      <c r="B206" s="8" t="s">
        <v>1299</v>
      </c>
      <c r="C206">
        <f>IF(ISERROR(Resource_Table!C206/(Resource_Table!E206*J206)),0,ROUNDUP(Resource_Table!C206/(Resource_Table!E206*J206),0))</f>
        <v>165</v>
      </c>
      <c r="D206" s="8" t="s">
        <v>661</v>
      </c>
      <c r="F206">
        <v>0</v>
      </c>
      <c r="G206" t="str">
        <f t="shared" si="3"/>
        <v/>
      </c>
      <c r="H206" s="8" t="s">
        <v>1129</v>
      </c>
      <c r="I206" s="8" t="s">
        <v>72</v>
      </c>
      <c r="J206">
        <f>CAL_RESOURCE(Resource_Table!F206,PDM!S9)</f>
        <v>4</v>
      </c>
      <c r="K206" t="e">
        <f>IF(I206="No",CAL_ES(A206,D206,E206,F206,$A$2:$A$251,$C$2:$C$251,$K$2:$K$251,$L$2:$L$251,I206,$V$6,$AA$2,P206),"")</f>
        <v>#VALUE!</v>
      </c>
      <c r="L206" t="e">
        <f>IF(I206="No",CAL_EF(A206,D206,E206,F206,$A$2:$A$251,$C$2:$C$251,$K$2:$K$251,$L$2:$L$251,I206,$AA$2,P206),"")</f>
        <v>#VALUE!</v>
      </c>
      <c r="M206" t="e">
        <f>IF(I206="No",CAL_LS(A206,G206,$A$2:$N$251,I206,$AA$2),"")</f>
        <v>#VALUE!</v>
      </c>
      <c r="N206" t="e">
        <f>IF(I206="No",CAL_LF(A206,G206,$A$2:$N$251,I206,$W$6,$AA$2),"")</f>
        <v>#VALUE!</v>
      </c>
      <c r="O206" t="e">
        <f>IF(I206="No",CAL_TF(K206,L206,N206,C206,$AA$2),"0")</f>
        <v>#VALUE!</v>
      </c>
      <c r="P206" s="33">
        <v>0</v>
      </c>
    </row>
    <row r="207" spans="1:16" x14ac:dyDescent="0.2">
      <c r="A207" s="8" t="s">
        <v>849</v>
      </c>
      <c r="B207" s="8" t="s">
        <v>1300</v>
      </c>
      <c r="C207">
        <f>IF(ISERROR(Resource_Table!C207/(Resource_Table!E207*J207)),0,ROUNDUP(Resource_Table!C207/(Resource_Table!E207*J207),0))</f>
        <v>165</v>
      </c>
      <c r="D207" s="8" t="s">
        <v>661</v>
      </c>
      <c r="F207">
        <v>0</v>
      </c>
      <c r="G207" t="str">
        <f t="shared" si="3"/>
        <v/>
      </c>
      <c r="H207" s="8" t="s">
        <v>1129</v>
      </c>
      <c r="I207" s="8" t="s">
        <v>72</v>
      </c>
      <c r="J207">
        <f>CAL_RESOURCE(Resource_Table!F207,PDM!S9)</f>
        <v>1</v>
      </c>
      <c r="K207" t="e">
        <f>IF(I207="No",CAL_ES(A207,D207,E207,F207,$A$2:$A$251,$C$2:$C$251,$K$2:$K$251,$L$2:$L$251,I207,$V$6,$AA$2,P207),"")</f>
        <v>#VALUE!</v>
      </c>
      <c r="L207" t="e">
        <f>IF(I207="No",CAL_EF(A207,D207,E207,F207,$A$2:$A$251,$C$2:$C$251,$K$2:$K$251,$L$2:$L$251,I207,$AA$2,P207),"")</f>
        <v>#VALUE!</v>
      </c>
      <c r="M207" t="e">
        <f>IF(I207="No",CAL_LS(A207,G207,$A$2:$N$251,I207,$AA$2),"")</f>
        <v>#VALUE!</v>
      </c>
      <c r="N207" t="e">
        <f>IF(I207="No",CAL_LF(A207,G207,$A$2:$N$251,I207,$W$6,$AA$2),"")</f>
        <v>#VALUE!</v>
      </c>
      <c r="O207" t="e">
        <f>IF(I207="No",CAL_TF(K207,L207,N207,C207,$AA$2),"0")</f>
        <v>#VALUE!</v>
      </c>
      <c r="P207" s="33">
        <v>0</v>
      </c>
    </row>
    <row r="208" spans="1:16" x14ac:dyDescent="0.2">
      <c r="A208" s="8" t="s">
        <v>852</v>
      </c>
      <c r="B208" s="8" t="s">
        <v>1301</v>
      </c>
      <c r="C208">
        <f>IF(ISERROR(Resource_Table!C208/(Resource_Table!E208*J208)),0,ROUNDUP(Resource_Table!C208/(Resource_Table!E208*J208),0))</f>
        <v>165</v>
      </c>
      <c r="D208" s="8" t="s">
        <v>661</v>
      </c>
      <c r="F208">
        <v>0</v>
      </c>
      <c r="G208" t="str">
        <f t="shared" si="3"/>
        <v/>
      </c>
      <c r="H208" s="8" t="s">
        <v>1165</v>
      </c>
      <c r="I208" s="8" t="s">
        <v>72</v>
      </c>
      <c r="J208">
        <f>CAL_RESOURCE(Resource_Table!F208,PDM!S12)</f>
        <v>1</v>
      </c>
      <c r="K208" t="e">
        <f>IF(I208="No",CAL_ES(A208,D208,E208,F208,$A$2:$A$251,$C$2:$C$251,$K$2:$K$251,$L$2:$L$251,I208,$V$6,$AA$2,P208),"")</f>
        <v>#VALUE!</v>
      </c>
      <c r="L208" t="e">
        <f>IF(I208="No",CAL_EF(A208,D208,E208,F208,$A$2:$A$251,$C$2:$C$251,$K$2:$K$251,$L$2:$L$251,I208,$AA$2,P208),"")</f>
        <v>#VALUE!</v>
      </c>
      <c r="M208" t="e">
        <f>IF(I208="No",CAL_LS(A208,G208,$A$2:$N$251,I208,$AA$2),"")</f>
        <v>#VALUE!</v>
      </c>
      <c r="N208" t="e">
        <f>IF(I208="No",CAL_LF(A208,G208,$A$2:$N$251,I208,$W$6,$AA$2),"")</f>
        <v>#VALUE!</v>
      </c>
      <c r="O208" t="e">
        <f>IF(I208="No",CAL_TF(K208,L208,N208,C208,$AA$2),"0")</f>
        <v>#VALUE!</v>
      </c>
      <c r="P208" s="33">
        <v>0</v>
      </c>
    </row>
    <row r="209" spans="1:16" x14ac:dyDescent="0.2">
      <c r="A209" s="8" t="s">
        <v>855</v>
      </c>
      <c r="B209" s="8" t="s">
        <v>1302</v>
      </c>
      <c r="C209" s="6" t="s">
        <v>1033</v>
      </c>
      <c r="D209" s="8"/>
      <c r="F209">
        <v>0</v>
      </c>
      <c r="G209" t="str">
        <f t="shared" si="3"/>
        <v/>
      </c>
      <c r="H209" s="8"/>
      <c r="I209" s="8" t="s">
        <v>47</v>
      </c>
      <c r="J209" s="6"/>
      <c r="K209" t="str">
        <f>IF(I209="No",CAL_ES(A209,D209,E209,F209,$A$2:$A$251,$C$2:$C$251,$K$2:$K$251,$L$2:$L$251,I209,$V$6,$AA$2,P209),"")</f>
        <v/>
      </c>
      <c r="L209" t="str">
        <f>IF(I209="No",CAL_EF(A209,D209,E209,F209,$A$2:$A$251,$C$2:$C$251,$K$2:$K$251,$L$2:$L$251,I209,$AA$2,P209),"")</f>
        <v/>
      </c>
      <c r="M209" t="str">
        <f>IF(I209="No",CAL_LS(A209,G209,$A$2:$N$251,I209,$AA$2),"")</f>
        <v/>
      </c>
      <c r="N209" t="str">
        <f>IF(I209="No",CAL_LF(A209,G209,$A$2:$N$251,I209,$W$6,$AA$2),"")</f>
        <v/>
      </c>
      <c r="O209" t="str">
        <f>IF(I209="No",CAL_TF(K209,L209,N209,C209,$AA$2),"0")</f>
        <v>0</v>
      </c>
      <c r="P209" s="33">
        <v>0</v>
      </c>
    </row>
    <row r="210" spans="1:16" x14ac:dyDescent="0.2">
      <c r="A210" s="8" t="s">
        <v>858</v>
      </c>
      <c r="B210" s="8" t="s">
        <v>1303</v>
      </c>
      <c r="C210" s="6" t="s">
        <v>1033</v>
      </c>
      <c r="D210" s="8"/>
      <c r="F210">
        <v>0</v>
      </c>
      <c r="G210" t="str">
        <f t="shared" si="3"/>
        <v/>
      </c>
      <c r="H210" s="8"/>
      <c r="I210" s="8" t="s">
        <v>47</v>
      </c>
      <c r="J210" s="6"/>
      <c r="K210" t="str">
        <f>IF(I210="No",CAL_ES(A210,D210,E210,F210,$A$2:$A$251,$C$2:$C$251,$K$2:$K$251,$L$2:$L$251,I210,$V$6,$AA$2,P210),"")</f>
        <v/>
      </c>
      <c r="L210" t="str">
        <f>IF(I210="No",CAL_EF(A210,D210,E210,F210,$A$2:$A$251,$C$2:$C$251,$K$2:$K$251,$L$2:$L$251,I210,$AA$2,P210),"")</f>
        <v/>
      </c>
      <c r="M210" t="str">
        <f>IF(I210="No",CAL_LS(A210,G210,$A$2:$N$251,I210,$AA$2),"")</f>
        <v/>
      </c>
      <c r="N210" t="str">
        <f>IF(I210="No",CAL_LF(A210,G210,$A$2:$N$251,I210,$W$6,$AA$2),"")</f>
        <v/>
      </c>
      <c r="O210" t="str">
        <f>IF(I210="No",CAL_TF(K210,L210,N210,C210,$AA$2),"0")</f>
        <v>0</v>
      </c>
      <c r="P210" s="33">
        <v>0</v>
      </c>
    </row>
    <row r="211" spans="1:16" x14ac:dyDescent="0.2">
      <c r="A211" s="8" t="s">
        <v>864</v>
      </c>
      <c r="B211" s="8" t="s">
        <v>1306</v>
      </c>
      <c r="C211">
        <f>IF(ISERROR(Resource_Table!C211/(Resource_Table!E211*J211)),0,ROUNDUP(Resource_Table!C211/(Resource_Table!E211*J211),0))</f>
        <v>15</v>
      </c>
      <c r="D211" s="8" t="s">
        <v>1307</v>
      </c>
      <c r="F211">
        <v>0</v>
      </c>
      <c r="G211" t="str">
        <f t="shared" si="3"/>
        <v/>
      </c>
      <c r="H211" s="8" t="s">
        <v>1134</v>
      </c>
      <c r="I211" s="8" t="s">
        <v>72</v>
      </c>
      <c r="J211">
        <f>CAL_RESOURCE(Resource_Table!F211,PDM!S10)</f>
        <v>2</v>
      </c>
      <c r="K211" t="e">
        <f>IF(I211="No",CAL_ES(A211,D211,E211,F211,$A$2:$A$251,$C$2:$C$251,$K$2:$K$251,$L$2:$L$251,I211,$V$6,$AA$2,P211),"")</f>
        <v>#VALUE!</v>
      </c>
      <c r="L211" t="e">
        <f>IF(I211="No",CAL_EF(A211,D211,E211,F211,$A$2:$A$251,$C$2:$C$251,$K$2:$K$251,$L$2:$L$251,I211,$AA$2,P211),"")</f>
        <v>#VALUE!</v>
      </c>
      <c r="M211" t="e">
        <f>IF(I211="No",CAL_LS(A211,G211,$A$2:$N$251,I211,$AA$2),"")</f>
        <v>#VALUE!</v>
      </c>
      <c r="N211" t="e">
        <f>IF(I211="No",CAL_LF(A211,G211,$A$2:$N$251,I211,$W$6,$AA$2),"")</f>
        <v>#VALUE!</v>
      </c>
      <c r="O211" t="e">
        <f>IF(I211="No",CAL_TF(K211,L211,N211,C211,$AA$2),"0")</f>
        <v>#VALUE!</v>
      </c>
      <c r="P211" s="33">
        <v>0</v>
      </c>
    </row>
    <row r="212" spans="1:16" x14ac:dyDescent="0.2">
      <c r="A212" s="8" t="s">
        <v>867</v>
      </c>
      <c r="B212" s="8" t="s">
        <v>1308</v>
      </c>
      <c r="C212">
        <f>IF(ISERROR(Resource_Table!C212/(Resource_Table!E212*J212)),0,ROUNDUP(Resource_Table!C212/(Resource_Table!E212*J212),0))</f>
        <v>15</v>
      </c>
      <c r="D212" s="8" t="s">
        <v>1307</v>
      </c>
      <c r="F212">
        <v>0</v>
      </c>
      <c r="G212" t="str">
        <f t="shared" si="3"/>
        <v/>
      </c>
      <c r="H212" s="8" t="s">
        <v>1134</v>
      </c>
      <c r="I212" s="8" t="s">
        <v>72</v>
      </c>
      <c r="J212">
        <f>CAL_RESOURCE(Resource_Table!F212,PDM!S10)</f>
        <v>2</v>
      </c>
      <c r="K212" t="e">
        <f>IF(I212="No",CAL_ES(A212,D212,E212,F212,$A$2:$A$251,$C$2:$C$251,$K$2:$K$251,$L$2:$L$251,I212,$V$6,$AA$2,P212),"")</f>
        <v>#VALUE!</v>
      </c>
      <c r="L212" t="e">
        <f>IF(I212="No",CAL_EF(A212,D212,E212,F212,$A$2:$A$251,$C$2:$C$251,$K$2:$K$251,$L$2:$L$251,I212,$AA$2,P212),"")</f>
        <v>#VALUE!</v>
      </c>
      <c r="M212" t="e">
        <f>IF(I212="No",CAL_LS(A212,G212,$A$2:$N$251,I212,$AA$2),"")</f>
        <v>#VALUE!</v>
      </c>
      <c r="N212" t="e">
        <f>IF(I212="No",CAL_LF(A212,G212,$A$2:$N$251,I212,$W$6,$AA$2),"")</f>
        <v>#VALUE!</v>
      </c>
      <c r="O212" t="e">
        <f>IF(I212="No",CAL_TF(K212,L212,N212,C212,$AA$2),"0")</f>
        <v>#VALUE!</v>
      </c>
      <c r="P212" s="33">
        <v>0</v>
      </c>
    </row>
    <row r="213" spans="1:16" x14ac:dyDescent="0.2">
      <c r="A213" s="8" t="s">
        <v>870</v>
      </c>
      <c r="B213" s="8" t="s">
        <v>1309</v>
      </c>
      <c r="C213">
        <f>IF(ISERROR(Resource_Table!C213/(Resource_Table!E213*J213)),0,ROUNDUP(Resource_Table!C213/(Resource_Table!E213*J213),0))</f>
        <v>15</v>
      </c>
      <c r="D213" s="8" t="s">
        <v>1310</v>
      </c>
      <c r="F213">
        <v>0</v>
      </c>
      <c r="G213" t="str">
        <f t="shared" si="3"/>
        <v/>
      </c>
      <c r="H213" s="8" t="s">
        <v>1134</v>
      </c>
      <c r="I213" s="8" t="s">
        <v>72</v>
      </c>
      <c r="J213">
        <f>CAL_RESOURCE(Resource_Table!F213,PDM!S10)</f>
        <v>2</v>
      </c>
      <c r="K213" t="e">
        <f>IF(I213="No",CAL_ES(A213,D213,E213,F213,$A$2:$A$251,$C$2:$C$251,$K$2:$K$251,$L$2:$L$251,I213,$V$6,$AA$2,P213),"")</f>
        <v>#VALUE!</v>
      </c>
      <c r="L213" t="e">
        <f>IF(I213="No",CAL_EF(A213,D213,E213,F213,$A$2:$A$251,$C$2:$C$251,$K$2:$K$251,$L$2:$L$251,I213,$AA$2,P213),"")</f>
        <v>#VALUE!</v>
      </c>
      <c r="M213" t="e">
        <f>IF(I213="No",CAL_LS(A213,G213,$A$2:$N$251,I213,$AA$2),"")</f>
        <v>#VALUE!</v>
      </c>
      <c r="N213" t="e">
        <f>IF(I213="No",CAL_LF(A213,G213,$A$2:$N$251,I213,$W$6,$AA$2),"")</f>
        <v>#VALUE!</v>
      </c>
      <c r="O213" t="e">
        <f>IF(I213="No",CAL_TF(K213,L213,N213,C213,$AA$2),"0")</f>
        <v>#VALUE!</v>
      </c>
      <c r="P213" s="33">
        <v>0</v>
      </c>
    </row>
    <row r="214" spans="1:16" x14ac:dyDescent="0.2">
      <c r="A214" s="8" t="s">
        <v>875</v>
      </c>
      <c r="B214" s="8" t="s">
        <v>1311</v>
      </c>
      <c r="C214">
        <f>IF(ISERROR(Resource_Table!C214/(Resource_Table!E214*J214)),0,ROUNDUP(Resource_Table!C214/(Resource_Table!E214*J214),0))</f>
        <v>15</v>
      </c>
      <c r="D214" s="8" t="s">
        <v>1312</v>
      </c>
      <c r="F214">
        <v>0</v>
      </c>
      <c r="G214" t="str">
        <f t="shared" si="3"/>
        <v/>
      </c>
      <c r="H214" s="8" t="s">
        <v>1134</v>
      </c>
      <c r="I214" s="8" t="s">
        <v>72</v>
      </c>
      <c r="J214">
        <f>CAL_RESOURCE(Resource_Table!F214,PDM!S10)</f>
        <v>2</v>
      </c>
      <c r="K214" t="e">
        <f>IF(I214="No",CAL_ES(A214,D214,E214,F214,$A$2:$A$251,$C$2:$C$251,$K$2:$K$251,$L$2:$L$251,I214,$V$6,$AA$2,P214),"")</f>
        <v>#VALUE!</v>
      </c>
      <c r="L214" t="e">
        <f>IF(I214="No",CAL_EF(A214,D214,E214,F214,$A$2:$A$251,$C$2:$C$251,$K$2:$K$251,$L$2:$L$251,I214,$AA$2,P214),"")</f>
        <v>#VALUE!</v>
      </c>
      <c r="M214" t="e">
        <f>IF(I214="No",CAL_LS(A214,G214,$A$2:$N$251,I214,$AA$2),"")</f>
        <v>#VALUE!</v>
      </c>
      <c r="N214" t="e">
        <f>IF(I214="No",CAL_LF(A214,G214,$A$2:$N$251,I214,$W$6,$AA$2),"")</f>
        <v>#VALUE!</v>
      </c>
      <c r="O214" t="e">
        <f>IF(I214="No",CAL_TF(K214,L214,N214,C214,$AA$2),"0")</f>
        <v>#VALUE!</v>
      </c>
      <c r="P214" s="33">
        <v>0</v>
      </c>
    </row>
    <row r="215" spans="1:16" x14ac:dyDescent="0.2">
      <c r="A215" s="8" t="s">
        <v>879</v>
      </c>
      <c r="B215" s="8" t="s">
        <v>1314</v>
      </c>
      <c r="C215">
        <f>IF(ISERROR(Resource_Table!C215/(Resource_Table!E215*J215)),0,ROUNDUP(Resource_Table!C215/(Resource_Table!E215*J215),0))</f>
        <v>15</v>
      </c>
      <c r="D215" s="8" t="s">
        <v>358</v>
      </c>
      <c r="F215">
        <v>0</v>
      </c>
      <c r="G215" t="str">
        <f t="shared" si="3"/>
        <v/>
      </c>
      <c r="H215" s="8" t="s">
        <v>1134</v>
      </c>
      <c r="I215" s="8" t="s">
        <v>72</v>
      </c>
      <c r="J215">
        <f>CAL_RESOURCE(Resource_Table!F215,PDM!S10)</f>
        <v>2</v>
      </c>
      <c r="K215" t="e">
        <f>IF(I215="No",CAL_ES(A215,D215,E215,F215,$A$2:$A$251,$C$2:$C$251,$K$2:$K$251,$L$2:$L$251,I215,$V$6,$AA$2,P215),"")</f>
        <v>#VALUE!</v>
      </c>
      <c r="L215" t="e">
        <f>IF(I215="No",CAL_EF(A215,D215,E215,F215,$A$2:$A$251,$C$2:$C$251,$K$2:$K$251,$L$2:$L$251,I215,$AA$2,P215),"")</f>
        <v>#VALUE!</v>
      </c>
      <c r="M215" t="e">
        <f>IF(I215="No",CAL_LS(A215,G215,$A$2:$N$251,I215,$AA$2),"")</f>
        <v>#VALUE!</v>
      </c>
      <c r="N215" t="e">
        <f>IF(I215="No",CAL_LF(A215,G215,$A$2:$N$251,I215,$W$6,$AA$2),"")</f>
        <v>#VALUE!</v>
      </c>
      <c r="O215" t="e">
        <f>IF(I215="No",CAL_TF(K215,L215,N215,C215,$AA$2),"0")</f>
        <v>#VALUE!</v>
      </c>
      <c r="P215" s="33">
        <v>0</v>
      </c>
    </row>
    <row r="216" spans="1:16" x14ac:dyDescent="0.2">
      <c r="A216" s="8" t="s">
        <v>884</v>
      </c>
      <c r="B216" s="8" t="s">
        <v>1315</v>
      </c>
      <c r="C216" s="6" t="s">
        <v>1033</v>
      </c>
      <c r="D216" s="8"/>
      <c r="F216">
        <v>0</v>
      </c>
      <c r="G216" t="str">
        <f t="shared" si="3"/>
        <v/>
      </c>
      <c r="H216" s="8"/>
      <c r="I216" s="8" t="s">
        <v>47</v>
      </c>
      <c r="J216" s="6"/>
      <c r="K216" t="str">
        <f>IF(I216="No",CAL_ES(A216,D216,E216,F216,$A$2:$A$251,$C$2:$C$251,$K$2:$K$251,$L$2:$L$251,I216,$V$6,$AA$2,P216),"")</f>
        <v/>
      </c>
      <c r="L216" t="str">
        <f>IF(I216="No",CAL_EF(A216,D216,E216,F216,$A$2:$A$251,$C$2:$C$251,$K$2:$K$251,$L$2:$L$251,I216,$AA$2,P216),"")</f>
        <v/>
      </c>
      <c r="M216" t="str">
        <f>IF(I216="No",CAL_LS(A216,G216,$A$2:$N$251,I216,$AA$2),"")</f>
        <v/>
      </c>
      <c r="N216" t="str">
        <f>IF(I216="No",CAL_LF(A216,G216,$A$2:$N$251,I216,$W$6,$AA$2),"")</f>
        <v/>
      </c>
      <c r="O216" t="str">
        <f>IF(I216="No",CAL_TF(K216,L216,N216,C216,$AA$2),"0")</f>
        <v>0</v>
      </c>
      <c r="P216" s="33">
        <v>0</v>
      </c>
    </row>
    <row r="217" spans="1:16" x14ac:dyDescent="0.2">
      <c r="A217" s="8" t="s">
        <v>889</v>
      </c>
      <c r="B217" s="8" t="s">
        <v>1316</v>
      </c>
      <c r="C217">
        <f>IF(ISERROR(Resource_Table!C217/(Resource_Table!E217*J217)),0,ROUNDUP(Resource_Table!C217/(Resource_Table!E217*J217),0))</f>
        <v>30</v>
      </c>
      <c r="D217" s="8" t="s">
        <v>1317</v>
      </c>
      <c r="F217">
        <v>0</v>
      </c>
      <c r="G217" t="str">
        <f t="shared" si="3"/>
        <v/>
      </c>
      <c r="H217" s="8" t="s">
        <v>1134</v>
      </c>
      <c r="I217" s="8" t="s">
        <v>72</v>
      </c>
      <c r="J217">
        <f>CAL_RESOURCE(Resource_Table!F217,PDM!S10)</f>
        <v>2</v>
      </c>
      <c r="K217" t="e">
        <f>IF(I217="No",CAL_ES(A217,D217,E217,F217,$A$2:$A$251,$C$2:$C$251,$K$2:$K$251,$L$2:$L$251,I217,$V$6,$AA$2,P217),"")</f>
        <v>#VALUE!</v>
      </c>
      <c r="L217" t="e">
        <f>IF(I217="No",CAL_EF(A217,D217,E217,F217,$A$2:$A$251,$C$2:$C$251,$K$2:$K$251,$L$2:$L$251,I217,$AA$2,P217),"")</f>
        <v>#VALUE!</v>
      </c>
      <c r="M217" t="e">
        <f>IF(I217="No",CAL_LS(A217,G217,$A$2:$N$251,I217,$AA$2),"")</f>
        <v>#VALUE!</v>
      </c>
      <c r="N217" t="e">
        <f>IF(I217="No",CAL_LF(A217,G217,$A$2:$N$251,I217,$W$6,$AA$2),"")</f>
        <v>#VALUE!</v>
      </c>
      <c r="O217" t="e">
        <f>IF(I217="No",CAL_TF(K217,L217,N217,C217,$AA$2),"0")</f>
        <v>#VALUE!</v>
      </c>
      <c r="P217" s="33">
        <v>0</v>
      </c>
    </row>
    <row r="218" spans="1:16" x14ac:dyDescent="0.2">
      <c r="A218" s="8" t="s">
        <v>894</v>
      </c>
      <c r="B218" s="8" t="s">
        <v>1318</v>
      </c>
      <c r="C218">
        <f>IF(ISERROR(Resource_Table!C218/(Resource_Table!E218*J218)),0,ROUNDUP(Resource_Table!C218/(Resource_Table!E218*J218),0))</f>
        <v>30</v>
      </c>
      <c r="D218" s="8" t="s">
        <v>1319</v>
      </c>
      <c r="F218">
        <v>0</v>
      </c>
      <c r="G218" t="str">
        <f t="shared" si="3"/>
        <v/>
      </c>
      <c r="H218" s="8" t="s">
        <v>1134</v>
      </c>
      <c r="I218" s="8" t="s">
        <v>72</v>
      </c>
      <c r="J218">
        <f>CAL_RESOURCE(Resource_Table!F218,PDM!S10)</f>
        <v>2</v>
      </c>
      <c r="K218" t="e">
        <f>IF(I218="No",CAL_ES(A218,D218,E218,F218,$A$2:$A$251,$C$2:$C$251,$K$2:$K$251,$L$2:$L$251,I218,$V$6,$AA$2,P218),"")</f>
        <v>#VALUE!</v>
      </c>
      <c r="L218" t="e">
        <f>IF(I218="No",CAL_EF(A218,D218,E218,F218,$A$2:$A$251,$C$2:$C$251,$K$2:$K$251,$L$2:$L$251,I218,$AA$2,P218),"")</f>
        <v>#VALUE!</v>
      </c>
      <c r="M218" t="e">
        <f>IF(I218="No",CAL_LS(A218,G218,$A$2:$N$251,I218,$AA$2),"")</f>
        <v>#VALUE!</v>
      </c>
      <c r="N218" t="e">
        <f>IF(I218="No",CAL_LF(A218,G218,$A$2:$N$251,I218,$W$6,$AA$2),"")</f>
        <v>#VALUE!</v>
      </c>
      <c r="O218" t="e">
        <f>IF(I218="No",CAL_TF(K218,L218,N218,C218,$AA$2),"0")</f>
        <v>#VALUE!</v>
      </c>
      <c r="P218" s="33">
        <v>0</v>
      </c>
    </row>
    <row r="219" spans="1:16" x14ac:dyDescent="0.2">
      <c r="A219" s="8" t="s">
        <v>898</v>
      </c>
      <c r="B219" s="8" t="s">
        <v>1320</v>
      </c>
      <c r="C219">
        <f>IF(ISERROR(Resource_Table!C219/(Resource_Table!E219*J219)),0,ROUNDUP(Resource_Table!C219/(Resource_Table!E219*J219),0))</f>
        <v>30</v>
      </c>
      <c r="D219" s="8" t="s">
        <v>1321</v>
      </c>
      <c r="F219">
        <v>0</v>
      </c>
      <c r="G219" t="str">
        <f t="shared" si="3"/>
        <v/>
      </c>
      <c r="H219" s="8" t="s">
        <v>1134</v>
      </c>
      <c r="I219" s="8" t="s">
        <v>72</v>
      </c>
      <c r="J219">
        <f>CAL_RESOURCE(Resource_Table!F219,PDM!S10)</f>
        <v>2</v>
      </c>
      <c r="K219" t="e">
        <f>IF(I219="No",CAL_ES(A219,D219,E219,F219,$A$2:$A$251,$C$2:$C$251,$K$2:$K$251,$L$2:$L$251,I219,$V$6,$AA$2,P219),"")</f>
        <v>#VALUE!</v>
      </c>
      <c r="L219" t="e">
        <f>IF(I219="No",CAL_EF(A219,D219,E219,F219,$A$2:$A$251,$C$2:$C$251,$K$2:$K$251,$L$2:$L$251,I219,$AA$2,P219),"")</f>
        <v>#VALUE!</v>
      </c>
      <c r="M219" t="e">
        <f>IF(I219="No",CAL_LS(A219,G219,$A$2:$N$251,I219,$AA$2),"")</f>
        <v>#VALUE!</v>
      </c>
      <c r="N219" t="e">
        <f>IF(I219="No",CAL_LF(A219,G219,$A$2:$N$251,I219,$W$6,$AA$2),"")</f>
        <v>#VALUE!</v>
      </c>
      <c r="O219" t="e">
        <f>IF(I219="No",CAL_TF(K219,L219,N219,C219,$AA$2),"0")</f>
        <v>#VALUE!</v>
      </c>
      <c r="P219" s="33">
        <v>0</v>
      </c>
    </row>
    <row r="220" spans="1:16" x14ac:dyDescent="0.2">
      <c r="A220" s="8" t="s">
        <v>903</v>
      </c>
      <c r="B220" s="8" t="s">
        <v>1322</v>
      </c>
      <c r="C220">
        <f>IF(ISERROR(Resource_Table!C220/(Resource_Table!E220*J220)),0,ROUNDUP(Resource_Table!C220/(Resource_Table!E220*J220),0))</f>
        <v>30</v>
      </c>
      <c r="D220" s="8" t="s">
        <v>1323</v>
      </c>
      <c r="F220">
        <v>0</v>
      </c>
      <c r="G220" t="str">
        <f t="shared" si="3"/>
        <v/>
      </c>
      <c r="H220" s="8" t="s">
        <v>1134</v>
      </c>
      <c r="I220" s="8" t="s">
        <v>72</v>
      </c>
      <c r="J220">
        <f>CAL_RESOURCE(Resource_Table!F220,PDM!S10)</f>
        <v>2</v>
      </c>
      <c r="K220" t="e">
        <f>IF(I220="No",CAL_ES(A220,D220,E220,F220,$A$2:$A$251,$C$2:$C$251,$K$2:$K$251,$L$2:$L$251,I220,$V$6,$AA$2,P220),"")</f>
        <v>#VALUE!</v>
      </c>
      <c r="L220" t="e">
        <f>IF(I220="No",CAL_EF(A220,D220,E220,F220,$A$2:$A$251,$C$2:$C$251,$K$2:$K$251,$L$2:$L$251,I220,$AA$2,P220),"")</f>
        <v>#VALUE!</v>
      </c>
      <c r="M220" t="e">
        <f>IF(I220="No",CAL_LS(A220,G220,$A$2:$N$251,I220,$AA$2),"")</f>
        <v>#VALUE!</v>
      </c>
      <c r="N220" t="e">
        <f>IF(I220="No",CAL_LF(A220,G220,$A$2:$N$251,I220,$W$6,$AA$2),"")</f>
        <v>#VALUE!</v>
      </c>
      <c r="O220" t="e">
        <f>IF(I220="No",CAL_TF(K220,L220,N220,C220,$AA$2),"0")</f>
        <v>#VALUE!</v>
      </c>
      <c r="P220" s="33">
        <v>0</v>
      </c>
    </row>
    <row r="221" spans="1:16" x14ac:dyDescent="0.2">
      <c r="A221" s="8" t="s">
        <v>906</v>
      </c>
      <c r="B221" s="8" t="s">
        <v>1324</v>
      </c>
      <c r="C221" s="6" t="s">
        <v>1033</v>
      </c>
      <c r="D221" s="8"/>
      <c r="F221">
        <v>0</v>
      </c>
      <c r="G221" t="str">
        <f t="shared" si="3"/>
        <v/>
      </c>
      <c r="H221" s="8"/>
      <c r="I221" s="8" t="s">
        <v>47</v>
      </c>
      <c r="J221" s="6"/>
      <c r="K221" t="str">
        <f>IF(I221="No",CAL_ES(A221,D221,E221,F221,$A$2:$A$251,$C$2:$C$251,$K$2:$K$251,$L$2:$L$251,I221,$V$6,$AA$2,P221),"")</f>
        <v/>
      </c>
      <c r="L221" t="str">
        <f>IF(I221="No",CAL_EF(A221,D221,E221,F221,$A$2:$A$251,$C$2:$C$251,$K$2:$K$251,$L$2:$L$251,I221,$AA$2,P221),"")</f>
        <v/>
      </c>
      <c r="M221" t="str">
        <f>IF(I221="No",CAL_LS(A221,G221,$A$2:$N$251,I221,$AA$2),"")</f>
        <v/>
      </c>
      <c r="N221" t="str">
        <f>IF(I221="No",CAL_LF(A221,G221,$A$2:$N$251,I221,$W$6,$AA$2),"")</f>
        <v/>
      </c>
      <c r="O221" t="str">
        <f>IF(I221="No",CAL_TF(K221,L221,N221,C221,$AA$2),"0")</f>
        <v>0</v>
      </c>
      <c r="P221" s="33">
        <v>0</v>
      </c>
    </row>
    <row r="222" spans="1:16" x14ac:dyDescent="0.2">
      <c r="A222" s="8" t="s">
        <v>909</v>
      </c>
      <c r="B222" s="8" t="s">
        <v>1325</v>
      </c>
      <c r="C222">
        <f>IF(ISERROR(Resource_Table!C222/(Resource_Table!E222*J222)),0,ROUNDUP(Resource_Table!C222/(Resource_Table!E222*J222),0))</f>
        <v>15</v>
      </c>
      <c r="D222" s="8" t="s">
        <v>1307</v>
      </c>
      <c r="F222">
        <v>0</v>
      </c>
      <c r="G222" t="str">
        <f t="shared" si="3"/>
        <v/>
      </c>
      <c r="H222" s="8" t="s">
        <v>1134</v>
      </c>
      <c r="I222" s="8" t="s">
        <v>72</v>
      </c>
      <c r="J222">
        <f>CAL_RESOURCE(Resource_Table!F222,PDM!S10)</f>
        <v>2</v>
      </c>
      <c r="K222" t="e">
        <f>IF(I222="No",CAL_ES(A222,D222,E222,F222,$A$2:$A$251,$C$2:$C$251,$K$2:$K$251,$L$2:$L$251,I222,$V$6,$AA$2,P222),"")</f>
        <v>#VALUE!</v>
      </c>
      <c r="L222" t="e">
        <f>IF(I222="No",CAL_EF(A222,D222,E222,F222,$A$2:$A$251,$C$2:$C$251,$K$2:$K$251,$L$2:$L$251,I222,$AA$2,P222),"")</f>
        <v>#VALUE!</v>
      </c>
      <c r="M222" t="e">
        <f>IF(I222="No",CAL_LS(A222,G222,$A$2:$N$251,I222,$AA$2),"")</f>
        <v>#VALUE!</v>
      </c>
      <c r="N222" t="e">
        <f>IF(I222="No",CAL_LF(A222,G222,$A$2:$N$251,I222,$W$6,$AA$2),"")</f>
        <v>#VALUE!</v>
      </c>
      <c r="O222" t="e">
        <f>IF(I222="No",CAL_TF(K222,L222,N222,C222,$AA$2),"0")</f>
        <v>#VALUE!</v>
      </c>
      <c r="P222" s="33">
        <v>0</v>
      </c>
    </row>
    <row r="223" spans="1:16" x14ac:dyDescent="0.2">
      <c r="A223" s="8" t="s">
        <v>912</v>
      </c>
      <c r="B223" s="8" t="s">
        <v>1326</v>
      </c>
      <c r="C223">
        <f>IF(ISERROR(Resource_Table!C223/(Resource_Table!E223*J223)),0,ROUNDUP(Resource_Table!C223/(Resource_Table!E223*J223),0))</f>
        <v>15</v>
      </c>
      <c r="D223" s="8" t="s">
        <v>1310</v>
      </c>
      <c r="F223">
        <v>0</v>
      </c>
      <c r="G223" t="str">
        <f t="shared" si="3"/>
        <v/>
      </c>
      <c r="H223" s="8" t="s">
        <v>1134</v>
      </c>
      <c r="I223" s="8" t="s">
        <v>72</v>
      </c>
      <c r="J223">
        <f>CAL_RESOURCE(Resource_Table!F223,PDM!S10)</f>
        <v>2</v>
      </c>
      <c r="K223" t="e">
        <f>IF(I223="No",CAL_ES(A223,D223,E223,F223,$A$2:$A$251,$C$2:$C$251,$K$2:$K$251,$L$2:$L$251,I223,$V$6,$AA$2,P223),"")</f>
        <v>#VALUE!</v>
      </c>
      <c r="L223" t="e">
        <f>IF(I223="No",CAL_EF(A223,D223,E223,F223,$A$2:$A$251,$C$2:$C$251,$K$2:$K$251,$L$2:$L$251,I223,$AA$2,P223),"")</f>
        <v>#VALUE!</v>
      </c>
      <c r="M223" t="e">
        <f>IF(I223="No",CAL_LS(A223,G223,$A$2:$N$251,I223,$AA$2),"")</f>
        <v>#VALUE!</v>
      </c>
      <c r="N223" t="e">
        <f>IF(I223="No",CAL_LF(A223,G223,$A$2:$N$251,I223,$W$6,$AA$2),"")</f>
        <v>#VALUE!</v>
      </c>
      <c r="O223" t="e">
        <f>IF(I223="No",CAL_TF(K223,L223,N223,C223,$AA$2),"0")</f>
        <v>#VALUE!</v>
      </c>
      <c r="P223" s="33">
        <v>0</v>
      </c>
    </row>
    <row r="224" spans="1:16" x14ac:dyDescent="0.2">
      <c r="A224" s="8" t="s">
        <v>915</v>
      </c>
      <c r="B224" s="8" t="s">
        <v>1327</v>
      </c>
      <c r="C224">
        <f>IF(ISERROR(Resource_Table!C224/(Resource_Table!E224*J224)),0,ROUNDUP(Resource_Table!C224/(Resource_Table!E224*J224),0))</f>
        <v>15</v>
      </c>
      <c r="D224" s="8" t="s">
        <v>1312</v>
      </c>
      <c r="F224">
        <v>0</v>
      </c>
      <c r="G224" t="str">
        <f t="shared" si="3"/>
        <v/>
      </c>
      <c r="H224" s="8" t="s">
        <v>1134</v>
      </c>
      <c r="I224" s="8" t="s">
        <v>72</v>
      </c>
      <c r="J224">
        <f>CAL_RESOURCE(Resource_Table!F224,PDM!S10)</f>
        <v>2</v>
      </c>
      <c r="K224" t="e">
        <f>IF(I224="No",CAL_ES(A224,D224,E224,F224,$A$2:$A$251,$C$2:$C$251,$K$2:$K$251,$L$2:$L$251,I224,$V$6,$AA$2,P224),"")</f>
        <v>#VALUE!</v>
      </c>
      <c r="L224" t="e">
        <f>IF(I224="No",CAL_EF(A224,D224,E224,F224,$A$2:$A$251,$C$2:$C$251,$K$2:$K$251,$L$2:$L$251,I224,$AA$2,P224),"")</f>
        <v>#VALUE!</v>
      </c>
      <c r="M224" t="e">
        <f>IF(I224="No",CAL_LS(A224,G224,$A$2:$N$251,I224,$AA$2),"")</f>
        <v>#VALUE!</v>
      </c>
      <c r="N224" t="e">
        <f>IF(I224="No",CAL_LF(A224,G224,$A$2:$N$251,I224,$W$6,$AA$2),"")</f>
        <v>#VALUE!</v>
      </c>
      <c r="O224" t="e">
        <f>IF(I224="No",CAL_TF(K224,L224,N224,C224,$AA$2),"0")</f>
        <v>#VALUE!</v>
      </c>
      <c r="P224" s="33">
        <v>0</v>
      </c>
    </row>
    <row r="225" spans="1:16" x14ac:dyDescent="0.2">
      <c r="A225" s="8" t="s">
        <v>918</v>
      </c>
      <c r="B225" s="8" t="s">
        <v>1328</v>
      </c>
      <c r="C225">
        <f>IF(ISERROR(Resource_Table!C225/(Resource_Table!E225*J225)),0,ROUNDUP(Resource_Table!C225/(Resource_Table!E225*J225),0))</f>
        <v>15</v>
      </c>
      <c r="D225" s="8" t="s">
        <v>358</v>
      </c>
      <c r="F225">
        <v>0</v>
      </c>
      <c r="G225" t="str">
        <f t="shared" si="3"/>
        <v/>
      </c>
      <c r="H225" s="8" t="s">
        <v>1134</v>
      </c>
      <c r="I225" s="8" t="s">
        <v>72</v>
      </c>
      <c r="J225">
        <f>CAL_RESOURCE(Resource_Table!F225,PDM!S10)</f>
        <v>2</v>
      </c>
      <c r="K225" t="e">
        <f>IF(I225="No",CAL_ES(A225,D225,E225,F225,$A$2:$A$251,$C$2:$C$251,$K$2:$K$251,$L$2:$L$251,I225,$V$6,$AA$2,P225),"")</f>
        <v>#VALUE!</v>
      </c>
      <c r="L225" t="e">
        <f>IF(I225="No",CAL_EF(A225,D225,E225,F225,$A$2:$A$251,$C$2:$C$251,$K$2:$K$251,$L$2:$L$251,I225,$AA$2,P225),"")</f>
        <v>#VALUE!</v>
      </c>
      <c r="M225" t="e">
        <f>IF(I225="No",CAL_LS(A225,G225,$A$2:$N$251,I225,$AA$2),"")</f>
        <v>#VALUE!</v>
      </c>
      <c r="N225" t="e">
        <f>IF(I225="No",CAL_LF(A225,G225,$A$2:$N$251,I225,$W$6,$AA$2),"")</f>
        <v>#VALUE!</v>
      </c>
      <c r="O225" t="e">
        <f>IF(I225="No",CAL_TF(K225,L225,N225,C225,$AA$2),"0")</f>
        <v>#VALUE!</v>
      </c>
      <c r="P225" s="33">
        <v>0</v>
      </c>
    </row>
    <row r="226" spans="1:16" x14ac:dyDescent="0.2">
      <c r="A226" s="8" t="s">
        <v>921</v>
      </c>
      <c r="B226" s="8" t="s">
        <v>1329</v>
      </c>
      <c r="C226" s="6" t="s">
        <v>1033</v>
      </c>
      <c r="D226" s="8"/>
      <c r="F226">
        <v>0</v>
      </c>
      <c r="G226" t="str">
        <f t="shared" si="3"/>
        <v/>
      </c>
      <c r="H226" s="8"/>
      <c r="I226" s="8" t="s">
        <v>47</v>
      </c>
      <c r="J226" s="6"/>
      <c r="K226" t="str">
        <f>IF(I226="No",CAL_ES(A226,D226,E226,F226,$A$2:$A$251,$C$2:$C$251,$K$2:$K$251,$L$2:$L$251,I226,$V$6,$AA$2,P226),"")</f>
        <v/>
      </c>
      <c r="L226" t="str">
        <f>IF(I226="No",CAL_EF(A226,D226,E226,F226,$A$2:$A$251,$C$2:$C$251,$K$2:$K$251,$L$2:$L$251,I226,$AA$2,P226),"")</f>
        <v/>
      </c>
      <c r="M226" t="str">
        <f>IF(I226="No",CAL_LS(A226,G226,$A$2:$N$251,I226,$AA$2),"")</f>
        <v/>
      </c>
      <c r="N226" t="str">
        <f>IF(I226="No",CAL_LF(A226,G226,$A$2:$N$251,I226,$W$6,$AA$2),"")</f>
        <v/>
      </c>
      <c r="O226" t="str">
        <f>IF(I226="No",CAL_TF(K226,L226,N226,C226,$AA$2),"0")</f>
        <v>0</v>
      </c>
      <c r="P226" s="33">
        <v>0</v>
      </c>
    </row>
    <row r="227" spans="1:16" x14ac:dyDescent="0.2">
      <c r="A227" s="8" t="s">
        <v>924</v>
      </c>
      <c r="B227" s="8" t="s">
        <v>1330</v>
      </c>
      <c r="C227">
        <f>IF(ISERROR(Resource_Table!C227/(Resource_Table!E227*J227)),0,ROUNDUP(Resource_Table!C227/(Resource_Table!E227*J227),0))</f>
        <v>15</v>
      </c>
      <c r="D227" s="8" t="s">
        <v>1307</v>
      </c>
      <c r="F227">
        <v>0</v>
      </c>
      <c r="G227" t="str">
        <f t="shared" si="3"/>
        <v/>
      </c>
      <c r="H227" s="8" t="s">
        <v>1134</v>
      </c>
      <c r="I227" s="8" t="s">
        <v>72</v>
      </c>
      <c r="J227">
        <f>CAL_RESOURCE(Resource_Table!F227,PDM!S10)</f>
        <v>2</v>
      </c>
      <c r="K227" t="e">
        <f>IF(I227="No",CAL_ES(A227,D227,E227,F227,$A$2:$A$251,$C$2:$C$251,$K$2:$K$251,$L$2:$L$251,I227,$V$6,$AA$2,P227),"")</f>
        <v>#VALUE!</v>
      </c>
      <c r="L227" t="e">
        <f>IF(I227="No",CAL_EF(A227,D227,E227,F227,$A$2:$A$251,$C$2:$C$251,$K$2:$K$251,$L$2:$L$251,I227,$AA$2,P227),"")</f>
        <v>#VALUE!</v>
      </c>
      <c r="M227" t="e">
        <f>IF(I227="No",CAL_LS(A227,G227,$A$2:$N$251,I227,$AA$2),"")</f>
        <v>#VALUE!</v>
      </c>
      <c r="N227" t="e">
        <f>IF(I227="No",CAL_LF(A227,G227,$A$2:$N$251,I227,$W$6,$AA$2),"")</f>
        <v>#VALUE!</v>
      </c>
      <c r="O227" t="e">
        <f>IF(I227="No",CAL_TF(K227,L227,N227,C227,$AA$2),"0")</f>
        <v>#VALUE!</v>
      </c>
      <c r="P227" s="33">
        <v>0</v>
      </c>
    </row>
    <row r="228" spans="1:16" x14ac:dyDescent="0.2">
      <c r="A228" s="8" t="s">
        <v>927</v>
      </c>
      <c r="B228" s="8" t="s">
        <v>1331</v>
      </c>
      <c r="C228">
        <f>IF(ISERROR(Resource_Table!C228/(Resource_Table!E228*J228)),0,ROUNDUP(Resource_Table!C228/(Resource_Table!E228*J228),0))</f>
        <v>15</v>
      </c>
      <c r="D228" s="8" t="s">
        <v>1307</v>
      </c>
      <c r="F228">
        <v>0</v>
      </c>
      <c r="G228" t="str">
        <f t="shared" si="3"/>
        <v/>
      </c>
      <c r="H228" s="8" t="s">
        <v>1134</v>
      </c>
      <c r="I228" s="8" t="s">
        <v>72</v>
      </c>
      <c r="J228">
        <f>CAL_RESOURCE(Resource_Table!F228,PDM!S10)</f>
        <v>2</v>
      </c>
      <c r="K228" t="e">
        <f>IF(I228="No",CAL_ES(A228,D228,E228,F228,$A$2:$A$251,$C$2:$C$251,$K$2:$K$251,$L$2:$L$251,I228,$V$6,$AA$2,P228),"")</f>
        <v>#VALUE!</v>
      </c>
      <c r="L228" t="e">
        <f>IF(I228="No",CAL_EF(A228,D228,E228,F228,$A$2:$A$251,$C$2:$C$251,$K$2:$K$251,$L$2:$L$251,I228,$AA$2,P228),"")</f>
        <v>#VALUE!</v>
      </c>
      <c r="M228" t="e">
        <f>IF(I228="No",CAL_LS(A228,G228,$A$2:$N$251,I228,$AA$2),"")</f>
        <v>#VALUE!</v>
      </c>
      <c r="N228" t="e">
        <f>IF(I228="No",CAL_LF(A228,G228,$A$2:$N$251,I228,$W$6,$AA$2),"")</f>
        <v>#VALUE!</v>
      </c>
      <c r="O228" t="e">
        <f>IF(I228="No",CAL_TF(K228,L228,N228,C228,$AA$2),"0")</f>
        <v>#VALUE!</v>
      </c>
      <c r="P228" s="33">
        <v>0</v>
      </c>
    </row>
    <row r="229" spans="1:16" x14ac:dyDescent="0.2">
      <c r="A229" s="8" t="s">
        <v>930</v>
      </c>
      <c r="B229" s="8" t="s">
        <v>1332</v>
      </c>
      <c r="C229">
        <f>IF(ISERROR(Resource_Table!C229/(Resource_Table!E229*J229)),0,ROUNDUP(Resource_Table!C229/(Resource_Table!E229*J229),0))</f>
        <v>15</v>
      </c>
      <c r="D229" s="8" t="s">
        <v>1310</v>
      </c>
      <c r="F229">
        <v>0</v>
      </c>
      <c r="G229" t="str">
        <f t="shared" si="3"/>
        <v/>
      </c>
      <c r="H229" s="8" t="s">
        <v>1134</v>
      </c>
      <c r="I229" s="8" t="s">
        <v>72</v>
      </c>
      <c r="J229">
        <f>CAL_RESOURCE(Resource_Table!F229,PDM!S10)</f>
        <v>2</v>
      </c>
      <c r="K229" t="e">
        <f>IF(I229="No",CAL_ES(A229,D229,E229,F229,$A$2:$A$251,$C$2:$C$251,$K$2:$K$251,$L$2:$L$251,I229,$V$6,$AA$2,P229),"")</f>
        <v>#VALUE!</v>
      </c>
      <c r="L229" t="e">
        <f>IF(I229="No",CAL_EF(A229,D229,E229,F229,$A$2:$A$251,$C$2:$C$251,$K$2:$K$251,$L$2:$L$251,I229,$AA$2,P229),"")</f>
        <v>#VALUE!</v>
      </c>
      <c r="M229" t="e">
        <f>IF(I229="No",CAL_LS(A229,G229,$A$2:$N$251,I229,$AA$2),"")</f>
        <v>#VALUE!</v>
      </c>
      <c r="N229" t="e">
        <f>IF(I229="No",CAL_LF(A229,G229,$A$2:$N$251,I229,$W$6,$AA$2),"")</f>
        <v>#VALUE!</v>
      </c>
      <c r="O229" t="e">
        <f>IF(I229="No",CAL_TF(K229,L229,N229,C229,$AA$2),"0")</f>
        <v>#VALUE!</v>
      </c>
      <c r="P229" s="33">
        <v>0</v>
      </c>
    </row>
    <row r="230" spans="1:16" x14ac:dyDescent="0.2">
      <c r="A230" s="8" t="s">
        <v>933</v>
      </c>
      <c r="B230" s="8" t="s">
        <v>1333</v>
      </c>
      <c r="C230">
        <f>IF(ISERROR(Resource_Table!C230/(Resource_Table!E230*J230)),0,ROUNDUP(Resource_Table!C230/(Resource_Table!E230*J230),0))</f>
        <v>15</v>
      </c>
      <c r="D230" s="8" t="s">
        <v>1312</v>
      </c>
      <c r="F230">
        <v>0</v>
      </c>
      <c r="G230" t="str">
        <f t="shared" si="3"/>
        <v/>
      </c>
      <c r="H230" s="8" t="s">
        <v>1134</v>
      </c>
      <c r="I230" s="8" t="s">
        <v>72</v>
      </c>
      <c r="J230">
        <f>CAL_RESOURCE(Resource_Table!F230,PDM!S10)</f>
        <v>2</v>
      </c>
      <c r="K230" t="e">
        <f>IF(I230="No",CAL_ES(A230,D230,E230,F230,$A$2:$A$251,$C$2:$C$251,$K$2:$K$251,$L$2:$L$251,I230,$V$6,$AA$2,P230),"")</f>
        <v>#VALUE!</v>
      </c>
      <c r="L230" t="e">
        <f>IF(I230="No",CAL_EF(A230,D230,E230,F230,$A$2:$A$251,$C$2:$C$251,$K$2:$K$251,$L$2:$L$251,I230,$AA$2,P230),"")</f>
        <v>#VALUE!</v>
      </c>
      <c r="M230" t="e">
        <f>IF(I230="No",CAL_LS(A230,G230,$A$2:$N$251,I230,$AA$2),"")</f>
        <v>#VALUE!</v>
      </c>
      <c r="N230" t="e">
        <f>IF(I230="No",CAL_LF(A230,G230,$A$2:$N$251,I230,$W$6,$AA$2),"")</f>
        <v>#VALUE!</v>
      </c>
      <c r="O230" t="e">
        <f>IF(I230="No",CAL_TF(K230,L230,N230,C230,$AA$2),"0")</f>
        <v>#VALUE!</v>
      </c>
      <c r="P230" s="33">
        <v>0</v>
      </c>
    </row>
    <row r="231" spans="1:16" x14ac:dyDescent="0.2">
      <c r="A231" s="8" t="s">
        <v>936</v>
      </c>
      <c r="B231" s="8" t="s">
        <v>1334</v>
      </c>
      <c r="C231">
        <f>IF(ISERROR(Resource_Table!C231/(Resource_Table!E231*J231)),0,ROUNDUP(Resource_Table!C231/(Resource_Table!E231*J231),0))</f>
        <v>15</v>
      </c>
      <c r="D231" s="8" t="s">
        <v>358</v>
      </c>
      <c r="F231">
        <v>0</v>
      </c>
      <c r="G231" t="str">
        <f t="shared" si="3"/>
        <v/>
      </c>
      <c r="H231" s="8" t="s">
        <v>1134</v>
      </c>
      <c r="I231" s="8" t="s">
        <v>72</v>
      </c>
      <c r="J231">
        <f>CAL_RESOURCE(Resource_Table!F231,PDM!S10)</f>
        <v>2</v>
      </c>
      <c r="K231" t="e">
        <f>IF(I231="No",CAL_ES(A231,D231,E231,F231,$A$2:$A$251,$C$2:$C$251,$K$2:$K$251,$L$2:$L$251,I231,$V$6,$AA$2,P231),"")</f>
        <v>#VALUE!</v>
      </c>
      <c r="L231" t="e">
        <f>IF(I231="No",CAL_EF(A231,D231,E231,F231,$A$2:$A$251,$C$2:$C$251,$K$2:$K$251,$L$2:$L$251,I231,$AA$2,P231),"")</f>
        <v>#VALUE!</v>
      </c>
      <c r="M231" t="e">
        <f>IF(I231="No",CAL_LS(A231,G231,$A$2:$N$251,I231,$AA$2),"")</f>
        <v>#VALUE!</v>
      </c>
      <c r="N231" t="e">
        <f>IF(I231="No",CAL_LF(A231,G231,$A$2:$N$251,I231,$W$6,$AA$2),"")</f>
        <v>#VALUE!</v>
      </c>
      <c r="O231" t="e">
        <f>IF(I231="No",CAL_TF(K231,L231,N231,C231,$AA$2),"0")</f>
        <v>#VALUE!</v>
      </c>
      <c r="P231" s="33">
        <v>0</v>
      </c>
    </row>
    <row r="232" spans="1:16" x14ac:dyDescent="0.2">
      <c r="A232" s="8" t="s">
        <v>939</v>
      </c>
      <c r="B232" s="8" t="s">
        <v>1335</v>
      </c>
      <c r="C232" s="6" t="s">
        <v>1033</v>
      </c>
      <c r="D232" s="8"/>
      <c r="F232">
        <v>0</v>
      </c>
      <c r="G232" t="str">
        <f t="shared" si="3"/>
        <v/>
      </c>
      <c r="H232" s="8"/>
      <c r="I232" s="8" t="s">
        <v>47</v>
      </c>
      <c r="J232" s="6"/>
      <c r="K232" t="str">
        <f>IF(I232="No",CAL_ES(A232,D232,E232,F232,$A$2:$A$251,$C$2:$C$251,$K$2:$K$251,$L$2:$L$251,I232,$V$6,$AA$2,P232),"")</f>
        <v/>
      </c>
      <c r="L232" t="str">
        <f>IF(I232="No",CAL_EF(A232,D232,E232,F232,$A$2:$A$251,$C$2:$C$251,$K$2:$K$251,$L$2:$L$251,I232,$AA$2,P232),"")</f>
        <v/>
      </c>
      <c r="M232" t="str">
        <f>IF(I232="No",CAL_LS(A232,G232,$A$2:$N$251,I232,$AA$2),"")</f>
        <v/>
      </c>
      <c r="N232" t="str">
        <f>IF(I232="No",CAL_LF(A232,G232,$A$2:$N$251,I232,$W$6,$AA$2),"")</f>
        <v/>
      </c>
      <c r="O232" t="str">
        <f>IF(I232="No",CAL_TF(K232,L232,N232,C232,$AA$2),"0")</f>
        <v>0</v>
      </c>
      <c r="P232" s="33">
        <v>0</v>
      </c>
    </row>
    <row r="233" spans="1:16" x14ac:dyDescent="0.2">
      <c r="A233" s="8" t="s">
        <v>942</v>
      </c>
      <c r="B233" s="8" t="s">
        <v>1336</v>
      </c>
      <c r="C233">
        <f>IF(ISERROR(Resource_Table!C233/(Resource_Table!E233*J233)),0,ROUNDUP(Resource_Table!C233/(Resource_Table!E233*J233),0))</f>
        <v>15</v>
      </c>
      <c r="D233" s="8" t="s">
        <v>1317</v>
      </c>
      <c r="F233">
        <v>0</v>
      </c>
      <c r="G233" t="str">
        <f t="shared" si="3"/>
        <v/>
      </c>
      <c r="H233" s="8" t="s">
        <v>1129</v>
      </c>
      <c r="I233" s="8" t="s">
        <v>72</v>
      </c>
      <c r="J233">
        <f>CAL_RESOURCE(Resource_Table!F233,PDM!S9)</f>
        <v>2</v>
      </c>
      <c r="K233" t="e">
        <f>IF(I233="No",CAL_ES(A233,D233,E233,F233,$A$2:$A$251,$C$2:$C$251,$K$2:$K$251,$L$2:$L$251,I233,$V$6,$AA$2,P233),"")</f>
        <v>#VALUE!</v>
      </c>
      <c r="L233" t="e">
        <f>IF(I233="No",CAL_EF(A233,D233,E233,F233,$A$2:$A$251,$C$2:$C$251,$K$2:$K$251,$L$2:$L$251,I233,$AA$2,P233),"")</f>
        <v>#VALUE!</v>
      </c>
      <c r="M233" t="e">
        <f>IF(I233="No",CAL_LS(A233,G233,$A$2:$N$251,I233,$AA$2),"")</f>
        <v>#VALUE!</v>
      </c>
      <c r="N233" t="e">
        <f>IF(I233="No",CAL_LF(A233,G233,$A$2:$N$251,I233,$W$6,$AA$2),"")</f>
        <v>#VALUE!</v>
      </c>
      <c r="O233" t="e">
        <f>IF(I233="No",CAL_TF(K233,L233,N233,C233,$AA$2),"0")</f>
        <v>#VALUE!</v>
      </c>
      <c r="P233" s="33">
        <v>0</v>
      </c>
    </row>
    <row r="234" spans="1:16" x14ac:dyDescent="0.2">
      <c r="A234" s="8" t="s">
        <v>945</v>
      </c>
      <c r="B234" s="8" t="s">
        <v>1337</v>
      </c>
      <c r="C234" s="6" t="s">
        <v>1033</v>
      </c>
      <c r="D234" s="8"/>
      <c r="F234">
        <v>0</v>
      </c>
      <c r="G234" t="str">
        <f t="shared" si="3"/>
        <v/>
      </c>
      <c r="H234" s="8"/>
      <c r="I234" s="8" t="s">
        <v>47</v>
      </c>
      <c r="J234" s="6"/>
      <c r="K234" t="str">
        <f>IF(I234="No",CAL_ES(A234,D234,E234,F234,$A$2:$A$251,$C$2:$C$251,$K$2:$K$251,$L$2:$L$251,I234,$V$6,$AA$2,P234),"")</f>
        <v/>
      </c>
      <c r="L234" t="str">
        <f>IF(I234="No",CAL_EF(A234,D234,E234,F234,$A$2:$A$251,$C$2:$C$251,$K$2:$K$251,$L$2:$L$251,I234,$AA$2,P234),"")</f>
        <v/>
      </c>
      <c r="M234" t="str">
        <f>IF(I234="No",CAL_LS(A234,G234,$A$2:$N$251,I234,$AA$2),"")</f>
        <v/>
      </c>
      <c r="N234" t="str">
        <f>IF(I234="No",CAL_LF(A234,G234,$A$2:$N$251,I234,$W$6,$AA$2),"")</f>
        <v/>
      </c>
      <c r="O234" t="str">
        <f>IF(I234="No",CAL_TF(K234,L234,N234,C234,$AA$2),"0")</f>
        <v>0</v>
      </c>
      <c r="P234" s="33">
        <v>0</v>
      </c>
    </row>
    <row r="235" spans="1:16" x14ac:dyDescent="0.2">
      <c r="A235" s="8" t="s">
        <v>948</v>
      </c>
      <c r="B235" s="8" t="s">
        <v>1338</v>
      </c>
      <c r="C235">
        <f>IF(ISERROR(Resource_Table!C235/(Resource_Table!E235*J235)),0,ROUNDUP(Resource_Table!C235/(Resource_Table!E235*J235),0))</f>
        <v>160</v>
      </c>
      <c r="D235" s="8" t="s">
        <v>951</v>
      </c>
      <c r="F235">
        <v>0</v>
      </c>
      <c r="G235" t="str">
        <f t="shared" si="3"/>
        <v/>
      </c>
      <c r="H235" s="8" t="s">
        <v>1165</v>
      </c>
      <c r="I235" s="8" t="s">
        <v>72</v>
      </c>
      <c r="J235">
        <f>CAL_RESOURCE(Resource_Table!F235,PDM!S12)</f>
        <v>1</v>
      </c>
      <c r="K235" t="e">
        <f>IF(I235="No",CAL_ES(A235,D235,E235,F235,$A$2:$A$251,$C$2:$C$251,$K$2:$K$251,$L$2:$L$251,I235,$V$6,$AA$2,P235),"")</f>
        <v>#VALUE!</v>
      </c>
      <c r="L235" t="e">
        <f>IF(I235="No",CAL_EF(A235,D235,E235,F235,$A$2:$A$251,$C$2:$C$251,$K$2:$K$251,$L$2:$L$251,I235,$AA$2,P235),"")</f>
        <v>#VALUE!</v>
      </c>
      <c r="M235" t="e">
        <f>IF(I235="No",CAL_LS(A235,G235,$A$2:$N$251,I235,$AA$2),"")</f>
        <v>#VALUE!</v>
      </c>
      <c r="N235" t="e">
        <f>IF(I235="No",CAL_LF(A235,G235,$A$2:$N$251,I235,$W$6,$AA$2),"")</f>
        <v>#VALUE!</v>
      </c>
      <c r="O235" t="e">
        <f>IF(I235="No",CAL_TF(K235,L235,N235,C235,$AA$2),"0")</f>
        <v>#VALUE!</v>
      </c>
      <c r="P235" s="33">
        <v>0</v>
      </c>
    </row>
    <row r="236" spans="1:16" x14ac:dyDescent="0.2">
      <c r="A236" s="8" t="s">
        <v>952</v>
      </c>
      <c r="B236" s="8" t="s">
        <v>1339</v>
      </c>
      <c r="C236">
        <f>IF(ISERROR(Resource_Table!C236/(Resource_Table!E236*J236)),0,ROUNDUP(Resource_Table!C236/(Resource_Table!E236*J236),0))</f>
        <v>160</v>
      </c>
      <c r="D236" s="8" t="s">
        <v>951</v>
      </c>
      <c r="F236">
        <v>0</v>
      </c>
      <c r="G236" t="str">
        <f t="shared" si="3"/>
        <v/>
      </c>
      <c r="H236" s="8" t="s">
        <v>1165</v>
      </c>
      <c r="I236" s="8" t="s">
        <v>72</v>
      </c>
      <c r="J236">
        <f>CAL_RESOURCE(Resource_Table!F236,PDM!S12)</f>
        <v>1</v>
      </c>
      <c r="K236" t="e">
        <f>IF(I236="No",CAL_ES(A236,D236,E236,F236,$A$2:$A$251,$C$2:$C$251,$K$2:$K$251,$L$2:$L$251,I236,$V$6,$AA$2,P236),"")</f>
        <v>#VALUE!</v>
      </c>
      <c r="L236" t="e">
        <f>IF(I236="No",CAL_EF(A236,D236,E236,F236,$A$2:$A$251,$C$2:$C$251,$K$2:$K$251,$L$2:$L$251,I236,$AA$2,P236),"")</f>
        <v>#VALUE!</v>
      </c>
      <c r="M236" t="e">
        <f>IF(I236="No",CAL_LS(A236,G236,$A$2:$N$251,I236,$AA$2),"")</f>
        <v>#VALUE!</v>
      </c>
      <c r="N236" t="e">
        <f>IF(I236="No",CAL_LF(A236,G236,$A$2:$N$251,I236,$W$6,$AA$2),"")</f>
        <v>#VALUE!</v>
      </c>
      <c r="O236" t="e">
        <f>IF(I236="No",CAL_TF(K236,L236,N236,C236,$AA$2),"0")</f>
        <v>#VALUE!</v>
      </c>
      <c r="P236" s="33">
        <v>0</v>
      </c>
    </row>
    <row r="237" spans="1:16" x14ac:dyDescent="0.2">
      <c r="A237" s="8" t="s">
        <v>951</v>
      </c>
      <c r="B237" s="8" t="s">
        <v>1340</v>
      </c>
      <c r="C237">
        <f>IF(ISERROR(Resource_Table!C237/(Resource_Table!E237*J237)),0,ROUNDUP(Resource_Table!C237/(Resource_Table!E237*J237),0))</f>
        <v>175</v>
      </c>
      <c r="D237" s="8" t="s">
        <v>957</v>
      </c>
      <c r="F237">
        <v>0</v>
      </c>
      <c r="G237" t="str">
        <f t="shared" si="3"/>
        <v>234,235</v>
      </c>
      <c r="H237" s="8" t="s">
        <v>1165</v>
      </c>
      <c r="I237" s="8" t="s">
        <v>72</v>
      </c>
      <c r="J237">
        <f>CAL_RESOURCE(Resource_Table!F237,PDM!S12)</f>
        <v>1</v>
      </c>
      <c r="K237" t="e">
        <f>IF(I237="No",CAL_ES(A237,D237,E237,F237,$A$2:$A$251,$C$2:$C$251,$K$2:$K$251,$L$2:$L$251,I237,$V$6,$AA$2,P237),"")</f>
        <v>#VALUE!</v>
      </c>
      <c r="L237" t="e">
        <f>IF(I237="No",CAL_EF(A237,D237,E237,F237,$A$2:$A$251,$C$2:$C$251,$K$2:$K$251,$L$2:$L$251,I237,$AA$2,P237),"")</f>
        <v>#VALUE!</v>
      </c>
      <c r="M237" t="e">
        <f>IF(I237="No",CAL_LS(A237,G237,$A$2:$N$251,I237,$AA$2),"")</f>
        <v>#VALUE!</v>
      </c>
      <c r="N237" t="e">
        <f>IF(I237="No",CAL_LF(A237,G237,$A$2:$N$251,I237,$W$6,$AA$2),"")</f>
        <v>#VALUE!</v>
      </c>
      <c r="O237" t="e">
        <f>IF(I237="No",CAL_TF(K237,L237,N237,C237,$AA$2),"0")</f>
        <v>#VALUE!</v>
      </c>
      <c r="P237" s="33">
        <v>0</v>
      </c>
    </row>
    <row r="238" spans="1:16" x14ac:dyDescent="0.2">
      <c r="A238" s="8" t="s">
        <v>957</v>
      </c>
      <c r="B238" s="8" t="s">
        <v>1341</v>
      </c>
      <c r="C238">
        <f>IF(ISERROR(Resource_Table!C238/(Resource_Table!E238*J238)),0,ROUNDUP(Resource_Table!C238/(Resource_Table!E238*J238),0))</f>
        <v>175</v>
      </c>
      <c r="D238" s="8" t="s">
        <v>961</v>
      </c>
      <c r="F238">
        <v>0</v>
      </c>
      <c r="G238" t="str">
        <f t="shared" si="3"/>
        <v>236</v>
      </c>
      <c r="H238" s="8" t="s">
        <v>1165</v>
      </c>
      <c r="I238" s="8" t="s">
        <v>72</v>
      </c>
      <c r="J238">
        <f>CAL_RESOURCE(Resource_Table!F238,PDM!S12)</f>
        <v>1</v>
      </c>
      <c r="K238" t="e">
        <f>IF(I238="No",CAL_ES(A238,D238,E238,F238,$A$2:$A$251,$C$2:$C$251,$K$2:$K$251,$L$2:$L$251,I238,$V$6,$AA$2,P238),"")</f>
        <v>#VALUE!</v>
      </c>
      <c r="L238" t="e">
        <f>IF(I238="No",CAL_EF(A238,D238,E238,F238,$A$2:$A$251,$C$2:$C$251,$K$2:$K$251,$L$2:$L$251,I238,$AA$2,P238),"")</f>
        <v>#VALUE!</v>
      </c>
      <c r="M238" t="e">
        <f>IF(I238="No",CAL_LS(A238,G238,$A$2:$N$251,I238,$AA$2),"")</f>
        <v>#VALUE!</v>
      </c>
      <c r="N238" t="e">
        <f>IF(I238="No",CAL_LF(A238,G238,$A$2:$N$251,I238,$W$6,$AA$2),"")</f>
        <v>#VALUE!</v>
      </c>
      <c r="O238" t="e">
        <f>IF(I238="No",CAL_TF(K238,L238,N238,C238,$AA$2),"0")</f>
        <v>#VALUE!</v>
      </c>
      <c r="P238" s="33">
        <v>0</v>
      </c>
    </row>
    <row r="239" spans="1:16" x14ac:dyDescent="0.2">
      <c r="A239" s="8" t="s">
        <v>961</v>
      </c>
      <c r="B239" s="8" t="s">
        <v>1342</v>
      </c>
      <c r="C239">
        <f>IF(ISERROR(Resource_Table!C239/(Resource_Table!E239*J239)),0,ROUNDUP(Resource_Table!C239/(Resource_Table!E239*J239),0))</f>
        <v>160</v>
      </c>
      <c r="D239" s="8" t="s">
        <v>1281</v>
      </c>
      <c r="F239">
        <v>0</v>
      </c>
      <c r="G239" t="str">
        <f t="shared" si="3"/>
        <v>237</v>
      </c>
      <c r="H239" s="8" t="s">
        <v>1165</v>
      </c>
      <c r="I239" s="8" t="s">
        <v>72</v>
      </c>
      <c r="J239">
        <f>CAL_RESOURCE(Resource_Table!F239,PDM!S12)</f>
        <v>1</v>
      </c>
      <c r="K239" t="e">
        <f>IF(I239="No",CAL_ES(A239,D239,E239,F239,$A$2:$A$251,$C$2:$C$251,$K$2:$K$251,$L$2:$L$251,I239,$V$6,$AA$2,P239),"")</f>
        <v>#VALUE!</v>
      </c>
      <c r="L239" t="e">
        <f>IF(I239="No",CAL_EF(A239,D239,E239,F239,$A$2:$A$251,$C$2:$C$251,$K$2:$K$251,$L$2:$L$251,I239,$AA$2,P239),"")</f>
        <v>#VALUE!</v>
      </c>
      <c r="M239" t="e">
        <f>IF(I239="No",CAL_LS(A239,G239,$A$2:$N$251,I239,$AA$2),"")</f>
        <v>#VALUE!</v>
      </c>
      <c r="N239" t="e">
        <f>IF(I239="No",CAL_LF(A239,G239,$A$2:$N$251,I239,$W$6,$AA$2),"")</f>
        <v>#VALUE!</v>
      </c>
      <c r="O239" t="e">
        <f>IF(I239="No",CAL_TF(K239,L239,N239,C239,$AA$2),"0")</f>
        <v>#VALUE!</v>
      </c>
      <c r="P239" s="33">
        <v>0</v>
      </c>
    </row>
    <row r="240" spans="1:16" x14ac:dyDescent="0.2">
      <c r="A240" s="8" t="s">
        <v>964</v>
      </c>
      <c r="B240" s="8" t="s">
        <v>1343</v>
      </c>
      <c r="C240" s="6" t="s">
        <v>1033</v>
      </c>
      <c r="D240" s="8"/>
      <c r="F240">
        <v>0</v>
      </c>
      <c r="G240" t="str">
        <f t="shared" si="3"/>
        <v/>
      </c>
      <c r="H240" s="8"/>
      <c r="I240" s="8" t="s">
        <v>47</v>
      </c>
      <c r="J240" s="6"/>
      <c r="K240" t="str">
        <f>IF(I240="No",CAL_ES(A240,D240,E240,F240,$A$2:$A$251,$C$2:$C$251,$K$2:$K$251,$L$2:$L$251,I240,$V$6,$AA$2,P240),"")</f>
        <v/>
      </c>
      <c r="L240" t="str">
        <f>IF(I240="No",CAL_EF(A240,D240,E240,F240,$A$2:$A$251,$C$2:$C$251,$K$2:$K$251,$L$2:$L$251,I240,$AA$2,P240),"")</f>
        <v/>
      </c>
      <c r="M240" t="str">
        <f>IF(I240="No",CAL_LS(A240,G240,$A$2:$N$251,I240,$AA$2),"")</f>
        <v/>
      </c>
      <c r="N240" t="str">
        <f>IF(I240="No",CAL_LF(A240,G240,$A$2:$N$251,I240,$W$6,$AA$2),"")</f>
        <v/>
      </c>
      <c r="O240" t="str">
        <f>IF(I240="No",CAL_TF(K240,L240,N240,C240,$AA$2),"0")</f>
        <v>0</v>
      </c>
      <c r="P240" s="33">
        <v>0</v>
      </c>
    </row>
    <row r="241" spans="1:16" x14ac:dyDescent="0.2">
      <c r="A241" s="8" t="s">
        <v>972</v>
      </c>
      <c r="B241" s="8" t="s">
        <v>1346</v>
      </c>
      <c r="C241">
        <f>IF(ISERROR(Resource_Table!C241/(Resource_Table!E241*J241)),0,ROUNDUP(Resource_Table!C241/(Resource_Table!E241*J241),0))</f>
        <v>7</v>
      </c>
      <c r="D241" s="8" t="s">
        <v>976</v>
      </c>
      <c r="F241">
        <v>0</v>
      </c>
      <c r="G241" t="str">
        <f t="shared" si="3"/>
        <v/>
      </c>
      <c r="H241" s="8" t="s">
        <v>1165</v>
      </c>
      <c r="I241" s="8" t="s">
        <v>72</v>
      </c>
      <c r="J241">
        <f>CAL_RESOURCE(Resource_Table!F241,PDM!S12)</f>
        <v>1</v>
      </c>
      <c r="K241" t="e">
        <f>IF(I241="No",CAL_ES(A241,D241,E241,F241,$A$2:$A$251,$C$2:$C$251,$K$2:$K$251,$L$2:$L$251,I241,$V$6,$AA$2,P241),"")</f>
        <v>#VALUE!</v>
      </c>
      <c r="L241" t="e">
        <f>IF(I241="No",CAL_EF(A241,D241,E241,F241,$A$2:$A$251,$C$2:$C$251,$K$2:$K$251,$L$2:$L$251,I241,$AA$2,P241),"")</f>
        <v>#VALUE!</v>
      </c>
      <c r="M241" t="e">
        <f>IF(I241="No",CAL_LS(A241,G241,$A$2:$N$251,I241,$AA$2),"")</f>
        <v>#VALUE!</v>
      </c>
      <c r="N241" t="e">
        <f>IF(I241="No",CAL_LF(A241,G241,$A$2:$N$251,I241,$W$6,$AA$2),"")</f>
        <v>#VALUE!</v>
      </c>
      <c r="O241" t="e">
        <f>IF(I241="No",CAL_TF(K241,L241,N241,C241,$AA$2),"0")</f>
        <v>#VALUE!</v>
      </c>
      <c r="P241" s="33">
        <v>0</v>
      </c>
    </row>
    <row r="242" spans="1:16" x14ac:dyDescent="0.2">
      <c r="A242" s="8" t="s">
        <v>976</v>
      </c>
      <c r="B242" s="8" t="s">
        <v>1347</v>
      </c>
      <c r="C242">
        <f>IF(ISERROR(Resource_Table!C242/(Resource_Table!E242*J242)),0,ROUNDUP(Resource_Table!C242/(Resource_Table!E242*J242),0))</f>
        <v>7</v>
      </c>
      <c r="D242" s="8" t="s">
        <v>1348</v>
      </c>
      <c r="F242">
        <v>0</v>
      </c>
      <c r="G242" t="str">
        <f t="shared" si="3"/>
        <v>240</v>
      </c>
      <c r="H242" s="8" t="s">
        <v>1165</v>
      </c>
      <c r="I242" s="8" t="s">
        <v>72</v>
      </c>
      <c r="J242">
        <f>CAL_RESOURCE(Resource_Table!F242,PDM!S12)</f>
        <v>3</v>
      </c>
      <c r="K242" t="e">
        <f>IF(I242="No",CAL_ES(A242,D242,E242,F242,$A$2:$A$251,$C$2:$C$251,$K$2:$K$251,$L$2:$L$251,I242,$V$6,$AA$2,P242),"")</f>
        <v>#VALUE!</v>
      </c>
      <c r="L242" t="e">
        <f>IF(I242="No",CAL_EF(A242,D242,E242,F242,$A$2:$A$251,$C$2:$C$251,$K$2:$K$251,$L$2:$L$251,I242,$AA$2,P242),"")</f>
        <v>#VALUE!</v>
      </c>
      <c r="M242" t="e">
        <f>IF(I242="No",CAL_LS(A242,G242,$A$2:$N$251,I242,$AA$2),"")</f>
        <v>#VALUE!</v>
      </c>
      <c r="N242" t="e">
        <f>IF(I242="No",CAL_LF(A242,G242,$A$2:$N$251,I242,$W$6,$AA$2),"")</f>
        <v>#VALUE!</v>
      </c>
      <c r="O242" t="e">
        <f>IF(I242="No",CAL_TF(K242,L242,N242,C242,$AA$2),"0")</f>
        <v>#VALUE!</v>
      </c>
      <c r="P242" s="33">
        <v>0</v>
      </c>
    </row>
    <row r="243" spans="1:16" x14ac:dyDescent="0.2">
      <c r="A243" s="8" t="s">
        <v>984</v>
      </c>
      <c r="B243" s="8" t="s">
        <v>1349</v>
      </c>
      <c r="C243">
        <f>IF(ISERROR(Resource_Table!C243/(Resource_Table!E243*J243)),0,ROUNDUP(Resource_Table!C243/(Resource_Table!E243*J243),0))</f>
        <v>7</v>
      </c>
      <c r="D243" s="8" t="s">
        <v>1350</v>
      </c>
      <c r="F243">
        <v>0</v>
      </c>
      <c r="G243" t="str">
        <f t="shared" si="3"/>
        <v/>
      </c>
      <c r="H243" s="8" t="s">
        <v>1165</v>
      </c>
      <c r="I243" s="8" t="s">
        <v>72</v>
      </c>
      <c r="J243">
        <f>CAL_RESOURCE(Resource_Table!F243,PDM!S12)</f>
        <v>3</v>
      </c>
      <c r="K243" t="e">
        <f>IF(I243="No",CAL_ES(A243,D243,E243,F243,$A$2:$A$251,$C$2:$C$251,$K$2:$K$251,$L$2:$L$251,I243,$V$6,$AA$2,P243),"")</f>
        <v>#VALUE!</v>
      </c>
      <c r="L243" t="e">
        <f>IF(I243="No",CAL_EF(A243,D243,E243,F243,$A$2:$A$251,$C$2:$C$251,$K$2:$K$251,$L$2:$L$251,I243,$AA$2,P243),"")</f>
        <v>#VALUE!</v>
      </c>
      <c r="M243" t="e">
        <f>IF(I243="No",CAL_LS(A243,G243,$A$2:$N$251,I243,$AA$2),"")</f>
        <v>#VALUE!</v>
      </c>
      <c r="N243" t="e">
        <f>IF(I243="No",CAL_LF(A243,G243,$A$2:$N$251,I243,$W$6,$AA$2),"")</f>
        <v>#VALUE!</v>
      </c>
      <c r="O243" t="e">
        <f>IF(I243="No",CAL_TF(K243,L243,N243,C243,$AA$2),"0")</f>
        <v>#VALUE!</v>
      </c>
      <c r="P243" s="33">
        <v>0</v>
      </c>
    </row>
    <row r="244" spans="1:16" x14ac:dyDescent="0.2">
      <c r="A244" s="8" t="s">
        <v>989</v>
      </c>
      <c r="B244" s="8" t="s">
        <v>1351</v>
      </c>
      <c r="C244">
        <f>IF(ISERROR(Resource_Table!C244/(Resource_Table!E244*J244)),0,ROUNDUP(Resource_Table!C244/(Resource_Table!E244*J244),0))</f>
        <v>7</v>
      </c>
      <c r="D244" s="8" t="s">
        <v>1352</v>
      </c>
      <c r="F244">
        <v>0</v>
      </c>
      <c r="G244" t="str">
        <f t="shared" si="3"/>
        <v/>
      </c>
      <c r="H244" s="8" t="s">
        <v>1165</v>
      </c>
      <c r="I244" s="8" t="s">
        <v>72</v>
      </c>
      <c r="J244">
        <f>CAL_RESOURCE(Resource_Table!F244,PDM!S12)</f>
        <v>2</v>
      </c>
      <c r="K244" t="e">
        <f>IF(I244="No",CAL_ES(A244,D244,E244,F244,$A$2:$A$251,$C$2:$C$251,$K$2:$K$251,$L$2:$L$251,I244,$V$6,$AA$2,P244),"")</f>
        <v>#VALUE!</v>
      </c>
      <c r="L244" t="e">
        <f>IF(I244="No",CAL_EF(A244,D244,E244,F244,$A$2:$A$251,$C$2:$C$251,$K$2:$K$251,$L$2:$L$251,I244,$AA$2,P244),"")</f>
        <v>#VALUE!</v>
      </c>
      <c r="M244" t="e">
        <f>IF(I244="No",CAL_LS(A244,G244,$A$2:$N$251,I244,$AA$2),"")</f>
        <v>#VALUE!</v>
      </c>
      <c r="N244" t="e">
        <f>IF(I244="No",CAL_LF(A244,G244,$A$2:$N$251,I244,$W$6,$AA$2),"")</f>
        <v>#VALUE!</v>
      </c>
      <c r="O244" t="e">
        <f>IF(I244="No",CAL_TF(K244,L244,N244,C244,$AA$2),"0")</f>
        <v>#VALUE!</v>
      </c>
      <c r="P244" s="33">
        <v>0</v>
      </c>
    </row>
    <row r="245" spans="1:16" x14ac:dyDescent="0.2">
      <c r="A245" s="8" t="s">
        <v>994</v>
      </c>
      <c r="B245" s="8" t="s">
        <v>1353</v>
      </c>
      <c r="C245">
        <f>IF(ISERROR(Resource_Table!C245/(Resource_Table!E245*J245)),0,ROUNDUP(Resource_Table!C245/(Resource_Table!E245*J245),0))</f>
        <v>7</v>
      </c>
      <c r="D245" s="8" t="s">
        <v>1354</v>
      </c>
      <c r="F245">
        <v>0</v>
      </c>
      <c r="G245" t="str">
        <f t="shared" si="3"/>
        <v/>
      </c>
      <c r="H245" s="8" t="s">
        <v>1165</v>
      </c>
      <c r="I245" s="8" t="s">
        <v>72</v>
      </c>
      <c r="J245">
        <f>CAL_RESOURCE(Resource_Table!F245,PDM!S12)</f>
        <v>2</v>
      </c>
      <c r="K245" t="e">
        <f>IF(I245="No",CAL_ES(A245,D245,E245,F245,$A$2:$A$251,$C$2:$C$251,$K$2:$K$251,$L$2:$L$251,I245,$V$6,$AA$2,P245),"")</f>
        <v>#VALUE!</v>
      </c>
      <c r="L245" t="e">
        <f>IF(I245="No",CAL_EF(A245,D245,E245,F245,$A$2:$A$251,$C$2:$C$251,$K$2:$K$251,$L$2:$L$251,I245,$AA$2,P245),"")</f>
        <v>#VALUE!</v>
      </c>
      <c r="M245" t="e">
        <f>IF(I245="No",CAL_LS(A245,G245,$A$2:$N$251,I245,$AA$2),"")</f>
        <v>#VALUE!</v>
      </c>
      <c r="N245" t="e">
        <f>IF(I245="No",CAL_LF(A245,G245,$A$2:$N$251,I245,$W$6,$AA$2),"")</f>
        <v>#VALUE!</v>
      </c>
      <c r="O245" t="e">
        <f>IF(I245="No",CAL_TF(K245,L245,N245,C245,$AA$2),"0")</f>
        <v>#VALUE!</v>
      </c>
      <c r="P245" s="33">
        <v>0</v>
      </c>
    </row>
    <row r="246" spans="1:16" x14ac:dyDescent="0.2">
      <c r="A246" s="8" t="s">
        <v>997</v>
      </c>
      <c r="B246" s="8" t="s">
        <v>1356</v>
      </c>
      <c r="C246" s="6" t="s">
        <v>1033</v>
      </c>
      <c r="D246" s="8"/>
      <c r="F246">
        <v>0</v>
      </c>
      <c r="G246" t="str">
        <f t="shared" si="3"/>
        <v/>
      </c>
      <c r="H246" s="8"/>
      <c r="I246" s="8" t="s">
        <v>47</v>
      </c>
      <c r="J246" s="6"/>
      <c r="K246" t="str">
        <f>IF(I246="No",CAL_ES(A246,D246,E246,F246,$A$2:$A$251,$C$2:$C$251,$K$2:$K$251,$L$2:$L$251,I246,$V$6,$AA$2,P246),"")</f>
        <v/>
      </c>
      <c r="L246" t="str">
        <f>IF(I246="No",CAL_EF(A246,D246,E246,F246,$A$2:$A$251,$C$2:$C$251,$K$2:$K$251,$L$2:$L$251,I246,$AA$2,P246),"")</f>
        <v/>
      </c>
      <c r="M246" t="str">
        <f>IF(I246="No",CAL_LS(A246,G246,$A$2:$N$251,I246,$AA$2),"")</f>
        <v/>
      </c>
      <c r="N246" t="str">
        <f>IF(I246="No",CAL_LF(A246,G246,$A$2:$N$251,I246,$W$6,$AA$2),"")</f>
        <v/>
      </c>
      <c r="O246" t="str">
        <f>IF(I246="No",CAL_TF(K246,L246,N246,C246,$AA$2),"0")</f>
        <v>0</v>
      </c>
      <c r="P246" s="33">
        <v>0</v>
      </c>
    </row>
    <row r="247" spans="1:16" x14ac:dyDescent="0.2">
      <c r="A247" s="8" t="s">
        <v>1000</v>
      </c>
      <c r="B247" s="8" t="s">
        <v>1357</v>
      </c>
      <c r="C247">
        <f>IF(ISERROR(Resource_Table!C247/(Resource_Table!E247*J247)),0,ROUNDUP(Resource_Table!C247/(Resource_Table!E247*J247),0))</f>
        <v>7</v>
      </c>
      <c r="D247" s="8" t="s">
        <v>1003</v>
      </c>
      <c r="F247">
        <v>0</v>
      </c>
      <c r="G247" t="str">
        <f t="shared" si="3"/>
        <v/>
      </c>
      <c r="H247" s="8" t="s">
        <v>1165</v>
      </c>
      <c r="I247" s="8" t="s">
        <v>72</v>
      </c>
      <c r="J247">
        <f>CAL_RESOURCE(Resource_Table!F247,PDM!S12)</f>
        <v>1</v>
      </c>
      <c r="K247" t="e">
        <f>IF(I247="No",CAL_ES(A247,D247,E247,F247,$A$2:$A$251,$C$2:$C$251,$K$2:$K$251,$L$2:$L$251,I247,$V$6,$AA$2,P247),"")</f>
        <v>#VALUE!</v>
      </c>
      <c r="L247" t="e">
        <f>IF(I247="No",CAL_EF(A247,D247,E247,F247,$A$2:$A$251,$C$2:$C$251,$K$2:$K$251,$L$2:$L$251,I247,$AA$2,P247),"")</f>
        <v>#VALUE!</v>
      </c>
      <c r="M247" t="e">
        <f>IF(I247="No",CAL_LS(A247,G247,$A$2:$N$251,I247,$AA$2),"")</f>
        <v>#VALUE!</v>
      </c>
      <c r="N247" t="e">
        <f>IF(I247="No",CAL_LF(A247,G247,$A$2:$N$251,I247,$W$6,$AA$2),"")</f>
        <v>#VALUE!</v>
      </c>
      <c r="O247" t="e">
        <f>IF(I247="No",CAL_TF(K247,L247,N247,C247,$AA$2),"0")</f>
        <v>#VALUE!</v>
      </c>
      <c r="P247" s="33">
        <v>0</v>
      </c>
    </row>
    <row r="248" spans="1:16" x14ac:dyDescent="0.2">
      <c r="A248" s="8" t="s">
        <v>1003</v>
      </c>
      <c r="B248" s="8" t="s">
        <v>1358</v>
      </c>
      <c r="C248">
        <f>IF(ISERROR(Resource_Table!C248/(Resource_Table!E248*J248)),0,ROUNDUP(Resource_Table!C248/(Resource_Table!E248*J248),0))</f>
        <v>7</v>
      </c>
      <c r="D248" s="8" t="s">
        <v>1348</v>
      </c>
      <c r="F248">
        <v>0</v>
      </c>
      <c r="G248" t="str">
        <f t="shared" si="3"/>
        <v>246</v>
      </c>
      <c r="H248" s="8" t="s">
        <v>1165</v>
      </c>
      <c r="I248" s="8" t="s">
        <v>72</v>
      </c>
      <c r="J248">
        <f>CAL_RESOURCE(Resource_Table!F248,PDM!S12)</f>
        <v>2</v>
      </c>
      <c r="K248" t="e">
        <f>IF(I248="No",CAL_ES(A248,D248,E248,F248,$A$2:$A$251,$C$2:$C$251,$K$2:$K$251,$L$2:$L$251,I248,$V$6,$AA$2,P248),"")</f>
        <v>#VALUE!</v>
      </c>
      <c r="L248" t="e">
        <f>IF(I248="No",CAL_EF(A248,D248,E248,F248,$A$2:$A$251,$C$2:$C$251,$K$2:$K$251,$L$2:$L$251,I248,$AA$2,P248),"")</f>
        <v>#VALUE!</v>
      </c>
      <c r="M248" t="e">
        <f>IF(I248="No",CAL_LS(A248,G248,$A$2:$N$251,I248,$AA$2),"")</f>
        <v>#VALUE!</v>
      </c>
      <c r="N248" t="e">
        <f>IF(I248="No",CAL_LF(A248,G248,$A$2:$N$251,I248,$W$6,$AA$2),"")</f>
        <v>#VALUE!</v>
      </c>
      <c r="O248" t="e">
        <f>IF(I248="No",CAL_TF(K248,L248,N248,C248,$AA$2),"0")</f>
        <v>#VALUE!</v>
      </c>
      <c r="P248" s="33">
        <v>0</v>
      </c>
    </row>
    <row r="249" spans="1:16" x14ac:dyDescent="0.2">
      <c r="A249" s="8" t="s">
        <v>1006</v>
      </c>
      <c r="B249" s="8" t="s">
        <v>1359</v>
      </c>
      <c r="C249">
        <f>IF(ISERROR(Resource_Table!C249/(Resource_Table!E249*J249)),0,ROUNDUP(Resource_Table!C249/(Resource_Table!E249*J249),0))</f>
        <v>7</v>
      </c>
      <c r="D249" s="8" t="s">
        <v>1350</v>
      </c>
      <c r="F249">
        <v>0</v>
      </c>
      <c r="G249" t="str">
        <f t="shared" si="3"/>
        <v/>
      </c>
      <c r="H249" s="8" t="s">
        <v>1165</v>
      </c>
      <c r="I249" s="8" t="s">
        <v>72</v>
      </c>
      <c r="J249">
        <f>CAL_RESOURCE(Resource_Table!F249,PDM!S12)</f>
        <v>1</v>
      </c>
      <c r="K249" t="e">
        <f>IF(I249="No",CAL_ES(A249,D249,E249,F249,$A$2:$A$251,$C$2:$C$251,$K$2:$K$251,$L$2:$L$251,I249,$V$6,$AA$2,P249),"")</f>
        <v>#VALUE!</v>
      </c>
      <c r="L249" t="e">
        <f>IF(I249="No",CAL_EF(A249,D249,E249,F249,$A$2:$A$251,$C$2:$C$251,$K$2:$K$251,$L$2:$L$251,I249,$AA$2,P249),"")</f>
        <v>#VALUE!</v>
      </c>
      <c r="M249" t="e">
        <f>IF(I249="No",CAL_LS(A249,G249,$A$2:$N$251,I249,$AA$2),"")</f>
        <v>#VALUE!</v>
      </c>
      <c r="N249" t="e">
        <f>IF(I249="No",CAL_LF(A249,G249,$A$2:$N$251,I249,$W$6,$AA$2),"")</f>
        <v>#VALUE!</v>
      </c>
      <c r="O249" t="e">
        <f>IF(I249="No",CAL_TF(K249,L249,N249,C249,$AA$2),"0")</f>
        <v>#VALUE!</v>
      </c>
      <c r="P249" s="33">
        <v>0</v>
      </c>
    </row>
    <row r="250" spans="1:16" x14ac:dyDescent="0.2">
      <c r="A250" s="8" t="s">
        <v>1009</v>
      </c>
      <c r="B250" s="8" t="s">
        <v>1360</v>
      </c>
      <c r="C250">
        <f>IF(ISERROR(Resource_Table!C250/(Resource_Table!E250*J250)),0,ROUNDUP(Resource_Table!C250/(Resource_Table!E250*J250),0))</f>
        <v>7</v>
      </c>
      <c r="D250" s="8" t="s">
        <v>1352</v>
      </c>
      <c r="F250">
        <v>0</v>
      </c>
      <c r="G250" t="str">
        <f t="shared" si="3"/>
        <v/>
      </c>
      <c r="H250" s="8" t="s">
        <v>1165</v>
      </c>
      <c r="I250" s="8" t="s">
        <v>72</v>
      </c>
      <c r="J250">
        <f>CAL_RESOURCE(Resource_Table!F250,PDM!S12)</f>
        <v>1</v>
      </c>
      <c r="K250" t="e">
        <f>IF(I250="No",CAL_ES(A250,D250,E250,F250,$A$2:$A$251,$C$2:$C$251,$K$2:$K$251,$L$2:$L$251,I250,$V$6,$AA$2,P250),"")</f>
        <v>#VALUE!</v>
      </c>
      <c r="L250" t="e">
        <f>IF(I250="No",CAL_EF(A250,D250,E250,F250,$A$2:$A$251,$C$2:$C$251,$K$2:$K$251,$L$2:$L$251,I250,$AA$2,P250),"")</f>
        <v>#VALUE!</v>
      </c>
      <c r="M250" t="e">
        <f>IF(I250="No",CAL_LS(A250,G250,$A$2:$N$251,I250,$AA$2),"")</f>
        <v>#VALUE!</v>
      </c>
      <c r="N250" t="e">
        <f>IF(I250="No",CAL_LF(A250,G250,$A$2:$N$251,I250,$W$6,$AA$2),"")</f>
        <v>#VALUE!</v>
      </c>
      <c r="O250" t="e">
        <f>IF(I250="No",CAL_TF(K250,L250,N250,C250,$AA$2),"0")</f>
        <v>#VALUE!</v>
      </c>
      <c r="P250" s="33">
        <v>0</v>
      </c>
    </row>
    <row r="251" spans="1:16" x14ac:dyDescent="0.2">
      <c r="A251" s="8" t="s">
        <v>1012</v>
      </c>
      <c r="B251" s="8" t="s">
        <v>1361</v>
      </c>
      <c r="C251">
        <f>IF(ISERROR(Resource_Table!C251/(Resource_Table!E251*J251)),0,ROUNDUP(Resource_Table!C251/(Resource_Table!E251*J251),0))</f>
        <v>7</v>
      </c>
      <c r="D251" s="8" t="s">
        <v>1354</v>
      </c>
      <c r="F251">
        <v>0</v>
      </c>
      <c r="G251" t="str">
        <f t="shared" si="3"/>
        <v/>
      </c>
      <c r="H251" s="8" t="s">
        <v>1165</v>
      </c>
      <c r="I251" s="8" t="s">
        <v>72</v>
      </c>
      <c r="J251">
        <f>CAL_RESOURCE(Resource_Table!F251,PDM!S12)</f>
        <v>2</v>
      </c>
      <c r="K251" t="e">
        <f>IF(I251="No",CAL_ES(A251,D251,E251,F251,$A$2:$A$251,$C$2:$C$251,$K$2:$K$251,$L$2:$L$251,I251,$V$6,$AA$2,P251),"")</f>
        <v>#VALUE!</v>
      </c>
      <c r="L251" t="e">
        <f>IF(I251="No",CAL_EF(A251,D251,E251,F251,$A$2:$A$251,$C$2:$C$251,$K$2:$K$251,$L$2:$L$251,I251,$AA$2,P251),"")</f>
        <v>#VALUE!</v>
      </c>
      <c r="M251" t="e">
        <f>IF(I251="No",CAL_LS(A251,G251,$A$2:$N$251,I251,$AA$2),"")</f>
        <v>#VALUE!</v>
      </c>
      <c r="N251" t="e">
        <f>IF(I251="No",CAL_LF(A251,G251,$A$2:$N$251,I251,$W$6,$AA$2),"")</f>
        <v>#VALUE!</v>
      </c>
      <c r="O251" t="e">
        <f>IF(I251="No",CAL_TF(K251,L251,N251,C251,$AA$2),"0")</f>
        <v>#VALUE!</v>
      </c>
      <c r="P251" s="33">
        <v>0</v>
      </c>
    </row>
  </sheetData>
  <phoneticPr fontId="3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J251"/>
  <sheetViews>
    <sheetView topLeftCell="B1" workbookViewId="0">
      <pane ySplit="1" topLeftCell="A26" activePane="bottomLeft" state="frozen"/>
      <selection pane="bottomLeft" activeCell="F38" sqref="F38"/>
    </sheetView>
  </sheetViews>
  <sheetFormatPr baseColWidth="10" defaultColWidth="9.1640625" defaultRowHeight="15" x14ac:dyDescent="0.2"/>
  <cols>
    <col min="1" max="1" width="3.83203125" bestFit="1" customWidth="1"/>
    <col min="2" max="2" width="86.6640625" bestFit="1" customWidth="1"/>
    <col min="3" max="3" width="8.6640625" bestFit="1" customWidth="1"/>
    <col min="5" max="5" width="7.1640625" bestFit="1" customWidth="1"/>
    <col min="6" max="6" width="6.6640625" bestFit="1" customWidth="1"/>
    <col min="7" max="7" width="10.1640625" bestFit="1" customWidth="1"/>
    <col min="8" max="8" width="11.33203125" bestFit="1" customWidth="1"/>
    <col min="9" max="9" width="16.33203125" bestFit="1" customWidth="1"/>
    <col min="10" max="10" width="15.33203125" bestFit="1" customWidth="1"/>
    <col min="11" max="16384" width="9.1640625" style="1"/>
  </cols>
  <sheetData>
    <row r="1" spans="1:10" x14ac:dyDescent="0.2">
      <c r="A1" t="s">
        <v>72</v>
      </c>
      <c r="B1" t="s">
        <v>1039</v>
      </c>
      <c r="C1" t="s">
        <v>1040</v>
      </c>
      <c r="E1" t="s">
        <v>1041</v>
      </c>
      <c r="F1" t="s">
        <v>1042</v>
      </c>
      <c r="G1" t="s">
        <v>1043</v>
      </c>
      <c r="H1" t="s">
        <v>1044</v>
      </c>
      <c r="I1" t="s">
        <v>1045</v>
      </c>
      <c r="J1" t="s">
        <v>1046</v>
      </c>
    </row>
    <row r="2" spans="1:10" x14ac:dyDescent="0.2">
      <c r="A2" s="8" t="s">
        <v>0</v>
      </c>
      <c r="B2" s="8" t="s">
        <v>1047</v>
      </c>
      <c r="G2" s="6"/>
      <c r="H2" s="6"/>
      <c r="I2" s="6"/>
      <c r="J2" s="6"/>
    </row>
    <row r="3" spans="1:10" x14ac:dyDescent="0.2">
      <c r="A3" s="8" t="s">
        <v>57</v>
      </c>
      <c r="B3" s="8" t="s">
        <v>1048</v>
      </c>
      <c r="G3" s="6"/>
      <c r="H3" s="6"/>
      <c r="I3" s="6"/>
      <c r="J3" s="6"/>
    </row>
    <row r="4" spans="1:10" x14ac:dyDescent="0.2">
      <c r="A4" s="8" t="s">
        <v>1</v>
      </c>
      <c r="B4" s="8" t="s">
        <v>1049</v>
      </c>
      <c r="F4">
        <v>4</v>
      </c>
      <c r="G4">
        <f>F4*E4</f>
        <v>0</v>
      </c>
      <c r="H4">
        <f>getNumber(Task_Table1!F4)</f>
        <v>14</v>
      </c>
      <c r="I4">
        <f>IF(ISERROR(C4/G4),0,ROUNDUP(C4/G4,0))</f>
        <v>0</v>
      </c>
      <c r="J4">
        <f>IF(ISERROR(C4/(E4*H4)),0,ROUNDUP(C4/(E4*H4),0))</f>
        <v>0</v>
      </c>
    </row>
    <row r="5" spans="1:10" x14ac:dyDescent="0.2">
      <c r="A5" s="8" t="s">
        <v>73</v>
      </c>
      <c r="B5" s="8" t="s">
        <v>1050</v>
      </c>
      <c r="F5">
        <v>4</v>
      </c>
      <c r="G5">
        <f>F5*E5</f>
        <v>0</v>
      </c>
      <c r="H5">
        <f>getNumber(Task_Table1!F5)</f>
        <v>16</v>
      </c>
      <c r="I5">
        <f>IF(ISERROR(C5/G5),0,ROUNDUP(C5/G5,0))</f>
        <v>0</v>
      </c>
      <c r="J5">
        <f>IF(ISERROR(C5/(E5*H5)),0,ROUNDUP(C5/(E5*H5),0))</f>
        <v>0</v>
      </c>
    </row>
    <row r="6" spans="1:10" x14ac:dyDescent="0.2">
      <c r="A6" s="8" t="s">
        <v>80</v>
      </c>
      <c r="B6" s="8" t="s">
        <v>1051</v>
      </c>
      <c r="G6" s="6"/>
      <c r="H6" s="6"/>
      <c r="I6" s="6"/>
      <c r="J6" s="6"/>
    </row>
    <row r="7" spans="1:10" x14ac:dyDescent="0.2">
      <c r="A7" s="8" t="s">
        <v>2</v>
      </c>
      <c r="B7" s="8" t="s">
        <v>1052</v>
      </c>
      <c r="F7">
        <v>4</v>
      </c>
      <c r="G7">
        <f>F7*E7</f>
        <v>0</v>
      </c>
      <c r="H7">
        <f>getNumber(Task_Table1!F7)</f>
        <v>15</v>
      </c>
      <c r="I7">
        <f>IF(ISERROR(C7/G7),0,ROUNDUP(C7/G7,0))</f>
        <v>0</v>
      </c>
      <c r="J7">
        <f>IF(ISERROR(C7/(E7*H7)),0,ROUNDUP(C7/(E7*H7),0))</f>
        <v>0</v>
      </c>
    </row>
    <row r="8" spans="1:10" x14ac:dyDescent="0.2">
      <c r="A8" s="8" t="s">
        <v>87</v>
      </c>
      <c r="B8" s="8" t="s">
        <v>1053</v>
      </c>
      <c r="F8">
        <v>4</v>
      </c>
      <c r="G8">
        <f>F8*E8</f>
        <v>0</v>
      </c>
      <c r="H8">
        <f>getNumber(Task_Table1!F8)</f>
        <v>15</v>
      </c>
      <c r="I8">
        <f>IF(ISERROR(C8/G8),0,ROUNDUP(C8/G8,0))</f>
        <v>0</v>
      </c>
      <c r="J8">
        <f>IF(ISERROR(C8/(E8*H8)),0,ROUNDUP(C8/(E8*H8),0))</f>
        <v>0</v>
      </c>
    </row>
    <row r="9" spans="1:10" x14ac:dyDescent="0.2">
      <c r="A9" s="8" t="s">
        <v>95</v>
      </c>
      <c r="B9" s="8" t="s">
        <v>1054</v>
      </c>
      <c r="F9">
        <v>4</v>
      </c>
      <c r="G9">
        <f>F9*E9</f>
        <v>0</v>
      </c>
      <c r="H9">
        <f>getNumber(Task_Table1!F9)</f>
        <v>15</v>
      </c>
      <c r="I9">
        <f>IF(ISERROR(C9/G9),0,ROUNDUP(C9/G9,0))</f>
        <v>0</v>
      </c>
      <c r="J9">
        <f>IF(ISERROR(C9/(E9*H9)),0,ROUNDUP(C9/(E9*H9),0))</f>
        <v>0</v>
      </c>
    </row>
    <row r="10" spans="1:10" x14ac:dyDescent="0.2">
      <c r="A10" s="8" t="s">
        <v>3</v>
      </c>
      <c r="B10" s="8" t="s">
        <v>1055</v>
      </c>
      <c r="F10">
        <v>4</v>
      </c>
      <c r="G10">
        <f>F10*E10</f>
        <v>0</v>
      </c>
      <c r="H10">
        <f>getNumber(Task_Table1!F10)</f>
        <v>15</v>
      </c>
      <c r="I10">
        <f>IF(ISERROR(C10/G10),0,ROUNDUP(C10/G10,0))</f>
        <v>0</v>
      </c>
      <c r="J10">
        <f>IF(ISERROR(C10/(E10*H10)),0,ROUNDUP(C10/(E10*H10),0))</f>
        <v>0</v>
      </c>
    </row>
    <row r="11" spans="1:10" x14ac:dyDescent="0.2">
      <c r="A11" s="8" t="s">
        <v>110</v>
      </c>
      <c r="B11" s="8" t="s">
        <v>1056</v>
      </c>
      <c r="F11">
        <v>4</v>
      </c>
      <c r="G11">
        <f>F11*E11</f>
        <v>0</v>
      </c>
      <c r="H11">
        <f>getNumber(Task_Table1!F11)</f>
        <v>15</v>
      </c>
      <c r="I11">
        <f>IF(ISERROR(C11/G11),0,ROUNDUP(C11/G11,0))</f>
        <v>0</v>
      </c>
      <c r="J11">
        <f>IF(ISERROR(C11/(E11*H11)),0,ROUNDUP(C11/(E11*H11),0))</f>
        <v>0</v>
      </c>
    </row>
    <row r="12" spans="1:10" x14ac:dyDescent="0.2">
      <c r="A12" s="8" t="s">
        <v>115</v>
      </c>
      <c r="B12" s="8" t="s">
        <v>1057</v>
      </c>
      <c r="G12" s="6"/>
      <c r="H12" s="6"/>
      <c r="I12" s="6"/>
      <c r="J12" s="6"/>
    </row>
    <row r="13" spans="1:10" x14ac:dyDescent="0.2">
      <c r="A13" s="8" t="s">
        <v>117</v>
      </c>
      <c r="B13" s="8" t="s">
        <v>1052</v>
      </c>
      <c r="F13">
        <v>4</v>
      </c>
      <c r="G13">
        <f>F13*E13</f>
        <v>0</v>
      </c>
      <c r="H13">
        <f>getNumber(Task_Table1!F13)</f>
        <v>15</v>
      </c>
      <c r="I13">
        <f>IF(ISERROR(C13/G13),0,ROUNDUP(C13/G13,0))</f>
        <v>0</v>
      </c>
      <c r="J13">
        <f>IF(ISERROR(C13/(E13*H13)),0,ROUNDUP(C13/(E13*H13),0))</f>
        <v>0</v>
      </c>
    </row>
    <row r="14" spans="1:10" x14ac:dyDescent="0.2">
      <c r="A14" s="8" t="s">
        <v>119</v>
      </c>
      <c r="B14" s="8" t="s">
        <v>1053</v>
      </c>
      <c r="F14">
        <v>4</v>
      </c>
      <c r="G14">
        <f>F14*E14</f>
        <v>0</v>
      </c>
      <c r="H14">
        <f>getNumber(Task_Table1!F14)</f>
        <v>15</v>
      </c>
      <c r="I14">
        <f>IF(ISERROR(C14/G14),0,ROUNDUP(C14/G14,0))</f>
        <v>0</v>
      </c>
      <c r="J14">
        <f>IF(ISERROR(C14/(E14*H14)),0,ROUNDUP(C14/(E14*H14),0))</f>
        <v>0</v>
      </c>
    </row>
    <row r="15" spans="1:10" x14ac:dyDescent="0.2">
      <c r="A15" s="8" t="s">
        <v>121</v>
      </c>
      <c r="B15" s="8" t="s">
        <v>1054</v>
      </c>
      <c r="F15">
        <v>4</v>
      </c>
      <c r="G15">
        <f>F15*E15</f>
        <v>0</v>
      </c>
      <c r="H15">
        <f>getNumber(Task_Table1!F15)</f>
        <v>15</v>
      </c>
      <c r="I15">
        <f>IF(ISERROR(C15/G15),0,ROUNDUP(C15/G15,0))</f>
        <v>0</v>
      </c>
      <c r="J15">
        <f>IF(ISERROR(C15/(E15*H15)),0,ROUNDUP(C15/(E15*H15),0))</f>
        <v>0</v>
      </c>
    </row>
    <row r="16" spans="1:10" x14ac:dyDescent="0.2">
      <c r="A16" s="8" t="s">
        <v>123</v>
      </c>
      <c r="B16" s="8" t="s">
        <v>1055</v>
      </c>
      <c r="F16">
        <v>4</v>
      </c>
      <c r="G16">
        <f>F16*E16</f>
        <v>0</v>
      </c>
      <c r="H16">
        <f>getNumber(Task_Table1!F16)</f>
        <v>15</v>
      </c>
      <c r="I16">
        <f>IF(ISERROR(C16/G16),0,ROUNDUP(C16/G16,0))</f>
        <v>0</v>
      </c>
      <c r="J16">
        <f>IF(ISERROR(C16/(E16*H16)),0,ROUNDUP(C16/(E16*H16),0))</f>
        <v>0</v>
      </c>
    </row>
    <row r="17" spans="1:10" x14ac:dyDescent="0.2">
      <c r="A17" s="8" t="s">
        <v>125</v>
      </c>
      <c r="B17" s="8" t="s">
        <v>1056</v>
      </c>
      <c r="F17">
        <v>4</v>
      </c>
      <c r="G17">
        <f>F17*E17</f>
        <v>0</v>
      </c>
      <c r="H17">
        <f>getNumber(Task_Table1!F17)</f>
        <v>15</v>
      </c>
      <c r="I17">
        <f>IF(ISERROR(C17/G17),0,ROUNDUP(C17/G17,0))</f>
        <v>0</v>
      </c>
      <c r="J17">
        <f>IF(ISERROR(C17/(E17*H17)),0,ROUNDUP(C17/(E17*H17),0))</f>
        <v>0</v>
      </c>
    </row>
    <row r="18" spans="1:10" x14ac:dyDescent="0.2">
      <c r="A18" s="8" t="s">
        <v>127</v>
      </c>
      <c r="B18" s="8" t="s">
        <v>1058</v>
      </c>
      <c r="G18" s="6"/>
      <c r="H18" s="6"/>
      <c r="I18" s="6"/>
      <c r="J18" s="6"/>
    </row>
    <row r="19" spans="1:10" x14ac:dyDescent="0.2">
      <c r="A19" s="8" t="s">
        <v>133</v>
      </c>
      <c r="B19" s="8" t="s">
        <v>1059</v>
      </c>
      <c r="F19">
        <v>4</v>
      </c>
      <c r="G19">
        <f t="shared" ref="G19:G27" si="0">F19*E19</f>
        <v>0</v>
      </c>
      <c r="H19">
        <f>getNumber(Task_Table1!F19)</f>
        <v>20</v>
      </c>
      <c r="I19">
        <f t="shared" ref="I19:I27" si="1">IF(ISERROR(C19/G19),0,ROUNDUP(C19/G19,0))</f>
        <v>0</v>
      </c>
      <c r="J19">
        <f t="shared" ref="J19:J27" si="2">IF(ISERROR(C19/(E19*H19)),0,ROUNDUP(C19/(E19*H19),0))</f>
        <v>0</v>
      </c>
    </row>
    <row r="20" spans="1:10" x14ac:dyDescent="0.2">
      <c r="A20" s="8" t="s">
        <v>139</v>
      </c>
      <c r="B20" s="8" t="s">
        <v>1060</v>
      </c>
      <c r="F20">
        <v>4</v>
      </c>
      <c r="G20">
        <f t="shared" si="0"/>
        <v>0</v>
      </c>
      <c r="H20">
        <f>getNumber(Task_Table1!F20)</f>
        <v>20</v>
      </c>
      <c r="I20">
        <f t="shared" si="1"/>
        <v>0</v>
      </c>
      <c r="J20">
        <f t="shared" si="2"/>
        <v>0</v>
      </c>
    </row>
    <row r="21" spans="1:10" x14ac:dyDescent="0.2">
      <c r="A21" s="8" t="s">
        <v>147</v>
      </c>
      <c r="B21" s="8" t="s">
        <v>1061</v>
      </c>
      <c r="F21">
        <v>4</v>
      </c>
      <c r="G21">
        <f t="shared" si="0"/>
        <v>0</v>
      </c>
      <c r="H21">
        <f>getNumber(Task_Table1!F21)</f>
        <v>20</v>
      </c>
      <c r="I21">
        <f t="shared" si="1"/>
        <v>0</v>
      </c>
      <c r="J21">
        <f t="shared" si="2"/>
        <v>0</v>
      </c>
    </row>
    <row r="22" spans="1:10" x14ac:dyDescent="0.2">
      <c r="A22" s="8" t="s">
        <v>155</v>
      </c>
      <c r="B22" s="8" t="s">
        <v>1062</v>
      </c>
      <c r="F22">
        <v>4</v>
      </c>
      <c r="G22">
        <f t="shared" si="0"/>
        <v>0</v>
      </c>
      <c r="H22">
        <f>getNumber(Task_Table1!F22)</f>
        <v>20</v>
      </c>
      <c r="I22">
        <f t="shared" si="1"/>
        <v>0</v>
      </c>
      <c r="J22">
        <f t="shared" si="2"/>
        <v>0</v>
      </c>
    </row>
    <row r="23" spans="1:10" x14ac:dyDescent="0.2">
      <c r="A23" s="8" t="s">
        <v>163</v>
      </c>
      <c r="B23" s="8" t="s">
        <v>1063</v>
      </c>
      <c r="F23">
        <v>4</v>
      </c>
      <c r="G23">
        <f t="shared" si="0"/>
        <v>0</v>
      </c>
      <c r="H23">
        <f>getNumber(Task_Table1!F23)</f>
        <v>20</v>
      </c>
      <c r="I23">
        <f t="shared" si="1"/>
        <v>0</v>
      </c>
      <c r="J23">
        <f t="shared" si="2"/>
        <v>0</v>
      </c>
    </row>
    <row r="24" spans="1:10" x14ac:dyDescent="0.2">
      <c r="A24" s="8" t="s">
        <v>171</v>
      </c>
      <c r="B24" s="8" t="s">
        <v>1064</v>
      </c>
      <c r="F24">
        <v>4</v>
      </c>
      <c r="G24">
        <f t="shared" si="0"/>
        <v>0</v>
      </c>
      <c r="H24">
        <f>getNumber(Task_Table1!F24)</f>
        <v>20</v>
      </c>
      <c r="I24">
        <f t="shared" si="1"/>
        <v>0</v>
      </c>
      <c r="J24">
        <f t="shared" si="2"/>
        <v>0</v>
      </c>
    </row>
    <row r="25" spans="1:10" x14ac:dyDescent="0.2">
      <c r="A25" s="8" t="s">
        <v>178</v>
      </c>
      <c r="B25" s="8" t="s">
        <v>1065</v>
      </c>
      <c r="F25">
        <v>4</v>
      </c>
      <c r="G25">
        <f t="shared" si="0"/>
        <v>0</v>
      </c>
      <c r="H25">
        <f>getNumber(Task_Table1!F25)</f>
        <v>20</v>
      </c>
      <c r="I25">
        <f t="shared" si="1"/>
        <v>0</v>
      </c>
      <c r="J25">
        <f t="shared" si="2"/>
        <v>0</v>
      </c>
    </row>
    <row r="26" spans="1:10" x14ac:dyDescent="0.2">
      <c r="A26" s="8" t="s">
        <v>185</v>
      </c>
      <c r="B26" s="8" t="s">
        <v>1066</v>
      </c>
      <c r="F26">
        <v>4</v>
      </c>
      <c r="G26">
        <f t="shared" si="0"/>
        <v>0</v>
      </c>
      <c r="H26">
        <f>getNumber(Task_Table1!F26)</f>
        <v>92</v>
      </c>
      <c r="I26">
        <f t="shared" si="1"/>
        <v>0</v>
      </c>
      <c r="J26">
        <f t="shared" si="2"/>
        <v>0</v>
      </c>
    </row>
    <row r="27" spans="1:10" x14ac:dyDescent="0.2">
      <c r="A27" s="8" t="s">
        <v>190</v>
      </c>
      <c r="B27" s="8" t="s">
        <v>1067</v>
      </c>
      <c r="F27">
        <v>4</v>
      </c>
      <c r="G27">
        <f t="shared" si="0"/>
        <v>0</v>
      </c>
      <c r="H27">
        <f>getNumber(Task_Table1!F27)</f>
        <v>92</v>
      </c>
      <c r="I27">
        <f t="shared" si="1"/>
        <v>0</v>
      </c>
      <c r="J27">
        <f t="shared" si="2"/>
        <v>0</v>
      </c>
    </row>
    <row r="28" spans="1:10" x14ac:dyDescent="0.2">
      <c r="A28" s="8" t="s">
        <v>192</v>
      </c>
      <c r="B28" s="8" t="s">
        <v>1068</v>
      </c>
      <c r="G28" s="6"/>
      <c r="H28" s="6"/>
      <c r="I28" s="6"/>
      <c r="J28" s="6"/>
    </row>
    <row r="29" spans="1:10" x14ac:dyDescent="0.2">
      <c r="A29" s="8" t="s">
        <v>198</v>
      </c>
      <c r="B29" s="8" t="s">
        <v>1052</v>
      </c>
      <c r="F29">
        <v>4</v>
      </c>
      <c r="G29">
        <f t="shared" ref="G29:G35" si="3">F29*E29</f>
        <v>0</v>
      </c>
      <c r="H29">
        <f>getNumber(Task_Table1!F29)</f>
        <v>30</v>
      </c>
      <c r="I29">
        <f t="shared" ref="I29:I35" si="4">IF(ISERROR(C29/G29),0,ROUNDUP(C29/G29,0))</f>
        <v>0</v>
      </c>
      <c r="J29">
        <f t="shared" ref="J29:J35" si="5">IF(ISERROR(C29/(E29*H29)),0,ROUNDUP(C29/(E29*H29),0))</f>
        <v>0</v>
      </c>
    </row>
    <row r="30" spans="1:10" x14ac:dyDescent="0.2">
      <c r="A30" s="8" t="s">
        <v>200</v>
      </c>
      <c r="B30" s="8" t="s">
        <v>1053</v>
      </c>
      <c r="F30">
        <v>4</v>
      </c>
      <c r="G30">
        <f t="shared" si="3"/>
        <v>0</v>
      </c>
      <c r="H30">
        <f>getNumber(Task_Table1!F30)</f>
        <v>30</v>
      </c>
      <c r="I30">
        <f t="shared" si="4"/>
        <v>0</v>
      </c>
      <c r="J30">
        <f t="shared" si="5"/>
        <v>0</v>
      </c>
    </row>
    <row r="31" spans="1:10" x14ac:dyDescent="0.2">
      <c r="A31" s="8" t="s">
        <v>202</v>
      </c>
      <c r="B31" s="8" t="s">
        <v>1054</v>
      </c>
      <c r="F31">
        <v>4</v>
      </c>
      <c r="G31">
        <f t="shared" si="3"/>
        <v>0</v>
      </c>
      <c r="H31">
        <f>getNumber(Task_Table1!F31)</f>
        <v>30</v>
      </c>
      <c r="I31">
        <f t="shared" si="4"/>
        <v>0</v>
      </c>
      <c r="J31">
        <f t="shared" si="5"/>
        <v>0</v>
      </c>
    </row>
    <row r="32" spans="1:10" x14ac:dyDescent="0.2">
      <c r="A32" s="8" t="s">
        <v>204</v>
      </c>
      <c r="B32" s="8" t="s">
        <v>1055</v>
      </c>
      <c r="F32">
        <v>4</v>
      </c>
      <c r="G32">
        <f t="shared" si="3"/>
        <v>0</v>
      </c>
      <c r="H32">
        <f>getNumber(Task_Table1!F32)</f>
        <v>30</v>
      </c>
      <c r="I32">
        <f t="shared" si="4"/>
        <v>0</v>
      </c>
      <c r="J32">
        <f t="shared" si="5"/>
        <v>0</v>
      </c>
    </row>
    <row r="33" spans="1:10" x14ac:dyDescent="0.2">
      <c r="A33" s="8" t="s">
        <v>206</v>
      </c>
      <c r="B33" s="8" t="s">
        <v>785</v>
      </c>
      <c r="F33">
        <v>4</v>
      </c>
      <c r="G33">
        <f t="shared" si="3"/>
        <v>0</v>
      </c>
      <c r="H33">
        <f>getNumber(Task_Table1!F33)</f>
        <v>30</v>
      </c>
      <c r="I33">
        <f t="shared" si="4"/>
        <v>0</v>
      </c>
      <c r="J33">
        <f t="shared" si="5"/>
        <v>0</v>
      </c>
    </row>
    <row r="34" spans="1:10" x14ac:dyDescent="0.2">
      <c r="A34" s="8" t="s">
        <v>208</v>
      </c>
      <c r="B34" s="8" t="s">
        <v>1069</v>
      </c>
      <c r="F34">
        <v>4</v>
      </c>
      <c r="G34">
        <f t="shared" si="3"/>
        <v>0</v>
      </c>
      <c r="H34">
        <f>getNumber(Task_Table1!F34)</f>
        <v>30</v>
      </c>
      <c r="I34">
        <f t="shared" si="4"/>
        <v>0</v>
      </c>
      <c r="J34">
        <f t="shared" si="5"/>
        <v>0</v>
      </c>
    </row>
    <row r="35" spans="1:10" x14ac:dyDescent="0.2">
      <c r="A35" s="8" t="s">
        <v>210</v>
      </c>
      <c r="B35" s="8" t="s">
        <v>1070</v>
      </c>
      <c r="F35">
        <v>4</v>
      </c>
      <c r="G35">
        <f t="shared" si="3"/>
        <v>0</v>
      </c>
      <c r="H35">
        <f>getNumber(Task_Table1!F35)</f>
        <v>0</v>
      </c>
      <c r="I35">
        <f t="shared" si="4"/>
        <v>0</v>
      </c>
      <c r="J35">
        <f t="shared" si="5"/>
        <v>0</v>
      </c>
    </row>
    <row r="36" spans="1:10" x14ac:dyDescent="0.2">
      <c r="A36" s="8" t="s">
        <v>213</v>
      </c>
      <c r="B36" s="8" t="s">
        <v>215</v>
      </c>
      <c r="G36" s="6"/>
      <c r="H36" s="6"/>
      <c r="I36" s="6"/>
      <c r="J36" s="6"/>
    </row>
    <row r="37" spans="1:10" x14ac:dyDescent="0.2">
      <c r="A37" s="8" t="s">
        <v>219</v>
      </c>
      <c r="B37" s="8" t="s">
        <v>221</v>
      </c>
      <c r="C37">
        <v>6060.77</v>
      </c>
      <c r="E37">
        <v>16.835472222222222</v>
      </c>
      <c r="F37">
        <v>12</v>
      </c>
      <c r="G37">
        <f>F37*E37</f>
        <v>202.02566666666667</v>
      </c>
      <c r="H37">
        <f>getNumber(Task_Table1!F37)</f>
        <v>30</v>
      </c>
      <c r="I37">
        <f>IF(ISERROR(C37/G37),0,ROUNDUP(C37/G37,0))</f>
        <v>30</v>
      </c>
      <c r="J37">
        <f>IF(ISERROR(C37/(E37*H37)),0,ROUNDUP(C37/(E37*H37),0))</f>
        <v>12</v>
      </c>
    </row>
    <row r="38" spans="1:10" x14ac:dyDescent="0.2">
      <c r="A38" s="8" t="s">
        <v>222</v>
      </c>
      <c r="B38" s="8" t="s">
        <v>224</v>
      </c>
      <c r="G38" s="6"/>
      <c r="H38" s="6"/>
      <c r="I38" s="6"/>
      <c r="J38" s="6"/>
    </row>
    <row r="39" spans="1:10" x14ac:dyDescent="0.2">
      <c r="A39" s="8" t="s">
        <v>229</v>
      </c>
      <c r="B39" s="8" t="s">
        <v>231</v>
      </c>
      <c r="C39">
        <v>1922.93</v>
      </c>
      <c r="E39">
        <v>21.36588888888889</v>
      </c>
      <c r="F39">
        <v>3</v>
      </c>
      <c r="G39">
        <f t="shared" ref="G39:G44" si="6">F39*E39</f>
        <v>64.097666666666669</v>
      </c>
      <c r="H39">
        <f>getNumber(Task_Table1!F39)</f>
        <v>30</v>
      </c>
      <c r="I39">
        <f t="shared" ref="I39:I44" si="7">IF(ISERROR(C39/G39),0,ROUNDUP(C39/G39,0))</f>
        <v>30</v>
      </c>
      <c r="J39">
        <f t="shared" ref="J39:J44" si="8">IF(ISERROR(C39/(E39*H39)),0,ROUNDUP(C39/(E39*H39),0))</f>
        <v>3</v>
      </c>
    </row>
    <row r="40" spans="1:10" x14ac:dyDescent="0.2">
      <c r="A40" s="8" t="s">
        <v>237</v>
      </c>
      <c r="B40" s="8" t="s">
        <v>239</v>
      </c>
      <c r="C40">
        <v>2063.37</v>
      </c>
      <c r="E40">
        <v>17.194749999999999</v>
      </c>
      <c r="F40">
        <v>2</v>
      </c>
      <c r="G40">
        <f t="shared" si="6"/>
        <v>34.389499999999998</v>
      </c>
      <c r="H40">
        <f>getNumber(Task_Table1!F40)</f>
        <v>60</v>
      </c>
      <c r="I40">
        <f t="shared" si="7"/>
        <v>60</v>
      </c>
      <c r="J40">
        <f t="shared" si="8"/>
        <v>2</v>
      </c>
    </row>
    <row r="41" spans="1:10" x14ac:dyDescent="0.2">
      <c r="A41" s="8" t="s">
        <v>246</v>
      </c>
      <c r="B41" s="8" t="s">
        <v>248</v>
      </c>
      <c r="C41">
        <v>767.97</v>
      </c>
      <c r="E41">
        <v>12.7995</v>
      </c>
      <c r="F41">
        <v>2</v>
      </c>
      <c r="G41">
        <f t="shared" si="6"/>
        <v>25.599</v>
      </c>
      <c r="H41">
        <f>getNumber(Task_Table1!F41)</f>
        <v>30</v>
      </c>
      <c r="I41">
        <f t="shared" si="7"/>
        <v>30</v>
      </c>
      <c r="J41">
        <f t="shared" si="8"/>
        <v>2</v>
      </c>
    </row>
    <row r="42" spans="1:10" x14ac:dyDescent="0.2">
      <c r="A42" s="8" t="s">
        <v>251</v>
      </c>
      <c r="B42" s="8" t="s">
        <v>253</v>
      </c>
      <c r="C42">
        <v>11</v>
      </c>
      <c r="E42">
        <v>0.36666666666666664</v>
      </c>
      <c r="F42">
        <v>1</v>
      </c>
      <c r="G42">
        <f t="shared" si="6"/>
        <v>0.36666666666666664</v>
      </c>
      <c r="H42">
        <f>getNumber(Task_Table1!F42)</f>
        <v>30</v>
      </c>
      <c r="I42">
        <f t="shared" si="7"/>
        <v>30</v>
      </c>
      <c r="J42">
        <f t="shared" si="8"/>
        <v>1</v>
      </c>
    </row>
    <row r="43" spans="1:10" x14ac:dyDescent="0.2">
      <c r="A43" s="8" t="s">
        <v>256</v>
      </c>
      <c r="B43" s="8" t="s">
        <v>258</v>
      </c>
      <c r="C43">
        <v>110</v>
      </c>
      <c r="E43">
        <v>3.6666666666666665</v>
      </c>
      <c r="F43">
        <v>1</v>
      </c>
      <c r="G43">
        <f t="shared" si="6"/>
        <v>3.6666666666666665</v>
      </c>
      <c r="H43">
        <f>getNumber(Task_Table1!F43)</f>
        <v>30</v>
      </c>
      <c r="I43">
        <f t="shared" si="7"/>
        <v>30</v>
      </c>
      <c r="J43">
        <f t="shared" si="8"/>
        <v>1</v>
      </c>
    </row>
    <row r="44" spans="1:10" x14ac:dyDescent="0.2">
      <c r="A44" s="8" t="s">
        <v>259</v>
      </c>
      <c r="B44" s="8" t="s">
        <v>261</v>
      </c>
      <c r="C44">
        <v>3179</v>
      </c>
      <c r="E44">
        <v>35.322222222222223</v>
      </c>
      <c r="F44">
        <v>3</v>
      </c>
      <c r="G44">
        <f t="shared" si="6"/>
        <v>105.96666666666667</v>
      </c>
      <c r="H44">
        <f>getNumber(Task_Table1!F44)</f>
        <v>30</v>
      </c>
      <c r="I44">
        <f t="shared" si="7"/>
        <v>30</v>
      </c>
      <c r="J44">
        <f t="shared" si="8"/>
        <v>3</v>
      </c>
    </row>
    <row r="45" spans="1:10" x14ac:dyDescent="0.2">
      <c r="A45" s="8" t="s">
        <v>262</v>
      </c>
      <c r="B45" s="8" t="s">
        <v>264</v>
      </c>
      <c r="G45" s="6"/>
      <c r="H45" s="6"/>
      <c r="I45" s="6"/>
      <c r="J45" s="6"/>
    </row>
    <row r="46" spans="1:10" x14ac:dyDescent="0.2">
      <c r="A46" s="8" t="s">
        <v>268</v>
      </c>
      <c r="B46" s="8" t="s">
        <v>1071</v>
      </c>
      <c r="C46">
        <f>306.46/3</f>
        <v>102.15333333333332</v>
      </c>
      <c r="E46">
        <v>3.4051111111111108</v>
      </c>
      <c r="F46">
        <v>2</v>
      </c>
      <c r="G46">
        <f>F46*E46</f>
        <v>6.8102222222222215</v>
      </c>
      <c r="H46">
        <f>getNumber(Task_Table1!F46)</f>
        <v>15</v>
      </c>
      <c r="I46">
        <f>IF(ISERROR(C46/G46),0,ROUNDUP(C46/G46,0))</f>
        <v>15</v>
      </c>
      <c r="J46">
        <f>IF(ISERROR(C46/(E46*H46)),0,ROUNDUP(C46/(E46*H46),0))</f>
        <v>2</v>
      </c>
    </row>
    <row r="47" spans="1:10" x14ac:dyDescent="0.2">
      <c r="A47" s="8" t="s">
        <v>276</v>
      </c>
      <c r="B47" s="8" t="s">
        <v>1072</v>
      </c>
      <c r="C47">
        <f>306.46/3</f>
        <v>102.15333333333332</v>
      </c>
      <c r="E47">
        <v>3.4051111111111108</v>
      </c>
      <c r="F47">
        <v>2</v>
      </c>
      <c r="G47">
        <f>F47*E47</f>
        <v>6.8102222222222215</v>
      </c>
      <c r="H47">
        <f>getNumber(Task_Table1!F47)</f>
        <v>15</v>
      </c>
      <c r="I47">
        <f>IF(ISERROR(C47/G47),0,ROUNDUP(C47/G47,0))</f>
        <v>15</v>
      </c>
      <c r="J47">
        <f>IF(ISERROR(C47/(E47*H47)),0,ROUNDUP(C47/(E47*H47),0))</f>
        <v>2</v>
      </c>
    </row>
    <row r="48" spans="1:10" x14ac:dyDescent="0.2">
      <c r="A48" s="8" t="s">
        <v>282</v>
      </c>
      <c r="B48" s="8" t="s">
        <v>1073</v>
      </c>
      <c r="C48">
        <f>306.46/3</f>
        <v>102.15333333333332</v>
      </c>
      <c r="E48">
        <v>3.4051111111111108</v>
      </c>
      <c r="F48">
        <v>2</v>
      </c>
      <c r="G48">
        <f>F48*E48</f>
        <v>6.8102222222222215</v>
      </c>
      <c r="H48">
        <f>getNumber(Task_Table1!F48)</f>
        <v>15</v>
      </c>
      <c r="I48">
        <f>IF(ISERROR(C48/G48),0,ROUNDUP(C48/G48,0))</f>
        <v>15</v>
      </c>
      <c r="J48">
        <f>IF(ISERROR(C48/(E48*H48)),0,ROUNDUP(C48/(E48*H48),0))</f>
        <v>2</v>
      </c>
    </row>
    <row r="49" spans="1:10" x14ac:dyDescent="0.2">
      <c r="A49" s="8" t="s">
        <v>286</v>
      </c>
      <c r="B49" s="8" t="s">
        <v>288</v>
      </c>
      <c r="G49" s="6"/>
      <c r="H49" s="6"/>
      <c r="I49" s="6"/>
      <c r="J49" s="6"/>
    </row>
    <row r="50" spans="1:10" x14ac:dyDescent="0.2">
      <c r="A50" s="8" t="s">
        <v>295</v>
      </c>
      <c r="B50" s="8" t="s">
        <v>297</v>
      </c>
      <c r="G50" s="6"/>
      <c r="H50" s="6"/>
      <c r="I50" s="6"/>
      <c r="J50" s="6"/>
    </row>
    <row r="51" spans="1:10" x14ac:dyDescent="0.2">
      <c r="A51" s="8" t="s">
        <v>298</v>
      </c>
      <c r="B51" s="8" t="s">
        <v>1071</v>
      </c>
      <c r="C51">
        <f>430.75/3</f>
        <v>143.58333333333334</v>
      </c>
      <c r="E51">
        <v>1.1395502645502646</v>
      </c>
      <c r="F51">
        <v>1</v>
      </c>
      <c r="G51">
        <f>F51*E51</f>
        <v>1.1395502645502646</v>
      </c>
      <c r="H51">
        <f>getNumber(Task_Table1!F51)</f>
        <v>126</v>
      </c>
      <c r="I51">
        <f>IF(ISERROR(C51/G51),0,ROUNDUP(C51/G51,0))</f>
        <v>126</v>
      </c>
      <c r="J51">
        <f>IF(ISERROR(C51/(E51*H51)),0,ROUNDUP(C51/(E51*H51),0))</f>
        <v>1</v>
      </c>
    </row>
    <row r="52" spans="1:10" x14ac:dyDescent="0.2">
      <c r="A52" s="8" t="s">
        <v>307</v>
      </c>
      <c r="B52" s="8" t="s">
        <v>1072</v>
      </c>
      <c r="C52">
        <f>430.75/3</f>
        <v>143.58333333333334</v>
      </c>
      <c r="E52">
        <v>1.1395502645502646</v>
      </c>
      <c r="F52">
        <v>1</v>
      </c>
      <c r="G52">
        <f>F52*E52</f>
        <v>1.1395502645502646</v>
      </c>
      <c r="H52">
        <f>getNumber(Task_Table1!F52)</f>
        <v>126</v>
      </c>
      <c r="I52">
        <f>IF(ISERROR(C52/G52),0,ROUNDUP(C52/G52,0))</f>
        <v>126</v>
      </c>
      <c r="J52">
        <f>IF(ISERROR(C52/(E52*H52)),0,ROUNDUP(C52/(E52*H52),0))</f>
        <v>1</v>
      </c>
    </row>
    <row r="53" spans="1:10" x14ac:dyDescent="0.2">
      <c r="A53" s="8" t="s">
        <v>312</v>
      </c>
      <c r="B53" s="8" t="s">
        <v>1073</v>
      </c>
      <c r="C53">
        <f>430.75/3</f>
        <v>143.58333333333334</v>
      </c>
      <c r="E53">
        <v>1.1395502645502646</v>
      </c>
      <c r="F53">
        <v>1</v>
      </c>
      <c r="G53">
        <f>F53*E53</f>
        <v>1.1395502645502646</v>
      </c>
      <c r="H53">
        <f>getNumber(Task_Table1!F53)</f>
        <v>126</v>
      </c>
      <c r="I53">
        <f>IF(ISERROR(C53/G53),0,ROUNDUP(C53/G53,0))</f>
        <v>126</v>
      </c>
      <c r="J53">
        <f>IF(ISERROR(C53/(E53*H53)),0,ROUNDUP(C53/(E53*H53),0))</f>
        <v>1</v>
      </c>
    </row>
    <row r="54" spans="1:10" x14ac:dyDescent="0.2">
      <c r="A54" s="8" t="s">
        <v>317</v>
      </c>
      <c r="B54" s="8" t="s">
        <v>319</v>
      </c>
      <c r="G54" s="6"/>
      <c r="H54" s="6"/>
      <c r="I54" s="6"/>
      <c r="J54" s="6"/>
    </row>
    <row r="55" spans="1:10" x14ac:dyDescent="0.2">
      <c r="A55" s="8" t="s">
        <v>320</v>
      </c>
      <c r="B55" s="8" t="s">
        <v>1071</v>
      </c>
      <c r="C55">
        <f>855.55/3</f>
        <v>285.18333333333334</v>
      </c>
      <c r="E55">
        <v>2.2633597883597885</v>
      </c>
      <c r="F55">
        <v>1</v>
      </c>
      <c r="G55">
        <f>F55*E55</f>
        <v>2.2633597883597885</v>
      </c>
      <c r="H55">
        <f>getNumber(Task_Table1!F55)</f>
        <v>126</v>
      </c>
      <c r="I55">
        <f>IF(ISERROR(C55/G55),0,ROUNDUP(C55/G55,0))</f>
        <v>126</v>
      </c>
      <c r="J55">
        <f>IF(ISERROR(C55/(E55*H55)),0,ROUNDUP(C55/(E55*H55),0))</f>
        <v>1</v>
      </c>
    </row>
    <row r="56" spans="1:10" x14ac:dyDescent="0.2">
      <c r="A56" s="8" t="s">
        <v>322</v>
      </c>
      <c r="B56" s="8" t="s">
        <v>1072</v>
      </c>
      <c r="C56">
        <f>855.55/3</f>
        <v>285.18333333333334</v>
      </c>
      <c r="E56">
        <v>2.2633597883597885</v>
      </c>
      <c r="F56">
        <v>1</v>
      </c>
      <c r="G56">
        <f>F56*E56</f>
        <v>2.2633597883597885</v>
      </c>
      <c r="H56">
        <f>getNumber(Task_Table1!F56)</f>
        <v>126</v>
      </c>
      <c r="I56">
        <f>IF(ISERROR(C56/G56),0,ROUNDUP(C56/G56,0))</f>
        <v>126</v>
      </c>
      <c r="J56">
        <f>IF(ISERROR(C56/(E56*H56)),0,ROUNDUP(C56/(E56*H56),0))</f>
        <v>1</v>
      </c>
    </row>
    <row r="57" spans="1:10" x14ac:dyDescent="0.2">
      <c r="A57" s="8" t="s">
        <v>325</v>
      </c>
      <c r="B57" s="8" t="s">
        <v>1073</v>
      </c>
      <c r="C57">
        <f>855.55/3</f>
        <v>285.18333333333334</v>
      </c>
      <c r="E57">
        <v>2.2633597883597885</v>
      </c>
      <c r="F57">
        <v>1</v>
      </c>
      <c r="G57">
        <f>F57*E57</f>
        <v>2.2633597883597885</v>
      </c>
      <c r="H57">
        <f>getNumber(Task_Table1!F57)</f>
        <v>126</v>
      </c>
      <c r="I57">
        <f>IF(ISERROR(C57/G57),0,ROUNDUP(C57/G57,0))</f>
        <v>126</v>
      </c>
      <c r="J57">
        <f>IF(ISERROR(C57/(E57*H57)),0,ROUNDUP(C57/(E57*H57),0))</f>
        <v>1</v>
      </c>
    </row>
    <row r="58" spans="1:10" x14ac:dyDescent="0.2">
      <c r="A58" s="8" t="s">
        <v>327</v>
      </c>
      <c r="B58" s="8" t="s">
        <v>329</v>
      </c>
      <c r="G58" s="6"/>
      <c r="H58" s="6"/>
      <c r="I58" s="6"/>
      <c r="J58" s="6"/>
    </row>
    <row r="59" spans="1:10" x14ac:dyDescent="0.2">
      <c r="A59" s="8" t="s">
        <v>336</v>
      </c>
      <c r="B59" s="8" t="s">
        <v>338</v>
      </c>
      <c r="C59">
        <v>343.39</v>
      </c>
      <c r="E59">
        <v>2.8615833333333334</v>
      </c>
      <c r="F59">
        <v>4</v>
      </c>
      <c r="G59">
        <f t="shared" ref="G59:G64" si="9">F59*E59</f>
        <v>11.446333333333333</v>
      </c>
      <c r="H59">
        <f>getNumber(Task_Table1!F59)</f>
        <v>30</v>
      </c>
      <c r="I59">
        <f t="shared" ref="I59:I64" si="10">IF(ISERROR(C59/G59),0,ROUNDUP(C59/G59,0))</f>
        <v>30</v>
      </c>
      <c r="J59">
        <f t="shared" ref="J59:J64" si="11">IF(ISERROR(C59/(E59*H59)),0,ROUNDUP(C59/(E59*H59),0))</f>
        <v>4</v>
      </c>
    </row>
    <row r="60" spans="1:10" x14ac:dyDescent="0.2">
      <c r="A60" s="8" t="s">
        <v>341</v>
      </c>
      <c r="B60" s="8" t="s">
        <v>343</v>
      </c>
      <c r="C60">
        <v>164</v>
      </c>
      <c r="E60">
        <v>5.4666666666666668</v>
      </c>
      <c r="F60">
        <v>1</v>
      </c>
      <c r="G60">
        <f t="shared" si="9"/>
        <v>5.4666666666666668</v>
      </c>
      <c r="H60">
        <f>getNumber(Task_Table1!F60)</f>
        <v>30</v>
      </c>
      <c r="I60">
        <f t="shared" si="10"/>
        <v>30</v>
      </c>
      <c r="J60">
        <f t="shared" si="11"/>
        <v>1</v>
      </c>
    </row>
    <row r="61" spans="1:10" x14ac:dyDescent="0.2">
      <c r="A61" s="8" t="s">
        <v>344</v>
      </c>
      <c r="B61" s="8" t="s">
        <v>346</v>
      </c>
      <c r="C61">
        <v>6034</v>
      </c>
      <c r="E61">
        <v>75.424999999999997</v>
      </c>
      <c r="F61">
        <v>1</v>
      </c>
      <c r="G61">
        <f t="shared" si="9"/>
        <v>75.424999999999997</v>
      </c>
      <c r="H61">
        <f>getNumber(Task_Table1!F61)</f>
        <v>80</v>
      </c>
      <c r="I61">
        <f t="shared" si="10"/>
        <v>80</v>
      </c>
      <c r="J61">
        <f t="shared" si="11"/>
        <v>1</v>
      </c>
    </row>
    <row r="62" spans="1:10" x14ac:dyDescent="0.2">
      <c r="A62" s="8" t="s">
        <v>351</v>
      </c>
      <c r="B62" s="8" t="s">
        <v>353</v>
      </c>
      <c r="C62">
        <v>3264</v>
      </c>
      <c r="E62">
        <v>40.799999999999997</v>
      </c>
      <c r="F62">
        <v>1</v>
      </c>
      <c r="G62">
        <f t="shared" si="9"/>
        <v>40.799999999999997</v>
      </c>
      <c r="H62">
        <f>getNumber(Task_Table1!F62)</f>
        <v>80</v>
      </c>
      <c r="I62">
        <f t="shared" si="10"/>
        <v>80</v>
      </c>
      <c r="J62">
        <f t="shared" si="11"/>
        <v>1</v>
      </c>
    </row>
    <row r="63" spans="1:10" x14ac:dyDescent="0.2">
      <c r="A63" s="8" t="s">
        <v>355</v>
      </c>
      <c r="B63" s="8" t="s">
        <v>357</v>
      </c>
      <c r="C63">
        <v>1200</v>
      </c>
      <c r="E63">
        <v>15</v>
      </c>
      <c r="F63">
        <v>1</v>
      </c>
      <c r="G63">
        <f t="shared" si="9"/>
        <v>15</v>
      </c>
      <c r="H63">
        <f>getNumber(Task_Table1!F63)</f>
        <v>80</v>
      </c>
      <c r="I63">
        <f t="shared" si="10"/>
        <v>80</v>
      </c>
      <c r="J63">
        <f t="shared" si="11"/>
        <v>1</v>
      </c>
    </row>
    <row r="64" spans="1:10" x14ac:dyDescent="0.2">
      <c r="A64" s="8" t="s">
        <v>358</v>
      </c>
      <c r="B64" s="8" t="s">
        <v>360</v>
      </c>
      <c r="C64">
        <v>109.11</v>
      </c>
      <c r="E64">
        <v>0.33063636363636362</v>
      </c>
      <c r="F64">
        <v>2</v>
      </c>
      <c r="G64">
        <f t="shared" si="9"/>
        <v>0.66127272727272723</v>
      </c>
      <c r="H64">
        <f>getNumber(Task_Table1!F64)</f>
        <v>165</v>
      </c>
      <c r="I64">
        <f t="shared" si="10"/>
        <v>165</v>
      </c>
      <c r="J64">
        <f t="shared" si="11"/>
        <v>2</v>
      </c>
    </row>
    <row r="65" spans="1:10" x14ac:dyDescent="0.2">
      <c r="A65" s="8" t="s">
        <v>364</v>
      </c>
      <c r="B65" s="8" t="s">
        <v>366</v>
      </c>
      <c r="G65" s="6"/>
      <c r="H65" s="6"/>
      <c r="I65" s="6"/>
      <c r="J65" s="6"/>
    </row>
    <row r="66" spans="1:10" x14ac:dyDescent="0.2">
      <c r="A66" s="8" t="s">
        <v>368</v>
      </c>
      <c r="B66" s="8" t="s">
        <v>370</v>
      </c>
      <c r="C66">
        <v>7089.13</v>
      </c>
      <c r="E66">
        <v>16.878880952380953</v>
      </c>
      <c r="F66">
        <v>14</v>
      </c>
      <c r="G66">
        <f>F66*E66</f>
        <v>236.30433333333335</v>
      </c>
      <c r="H66">
        <f>getNumber(Task_Table1!F66)</f>
        <v>30</v>
      </c>
      <c r="I66">
        <f>IF(ISERROR(C66/G66),0,ROUNDUP(C66/G66,0))</f>
        <v>30</v>
      </c>
      <c r="J66">
        <f>IF(ISERROR(C66/(E66*H66)),0,ROUNDUP(C66/(E66*H66),0))</f>
        <v>14</v>
      </c>
    </row>
    <row r="67" spans="1:10" x14ac:dyDescent="0.2">
      <c r="A67" s="8" t="s">
        <v>374</v>
      </c>
      <c r="B67" s="8" t="s">
        <v>376</v>
      </c>
      <c r="G67" s="6"/>
      <c r="H67" s="6"/>
      <c r="I67" s="6"/>
      <c r="J67" s="6"/>
    </row>
    <row r="68" spans="1:10" x14ac:dyDescent="0.2">
      <c r="A68" s="8" t="s">
        <v>377</v>
      </c>
      <c r="B68" s="8" t="s">
        <v>231</v>
      </c>
      <c r="C68">
        <v>2751.58</v>
      </c>
      <c r="E68">
        <v>10.191037037037036</v>
      </c>
      <c r="F68">
        <v>9</v>
      </c>
      <c r="G68">
        <f t="shared" ref="G68:G73" si="12">F68*E68</f>
        <v>91.719333333333324</v>
      </c>
      <c r="H68">
        <f>getNumber(Task_Table1!F68)</f>
        <v>30</v>
      </c>
      <c r="I68">
        <f t="shared" ref="I68:I73" si="13">IF(ISERROR(C68/G68),0,ROUNDUP(C68/G68,0))</f>
        <v>30</v>
      </c>
      <c r="J68">
        <f t="shared" ref="J68:J73" si="14">IF(ISERROR(C68/(E68*H68)),0,ROUNDUP(C68/(E68*H68),0))</f>
        <v>9</v>
      </c>
    </row>
    <row r="69" spans="1:10" x14ac:dyDescent="0.2">
      <c r="A69" s="8" t="s">
        <v>384</v>
      </c>
      <c r="B69" s="8" t="s">
        <v>239</v>
      </c>
      <c r="C69">
        <v>2929.93</v>
      </c>
      <c r="E69">
        <v>16.277388888888886</v>
      </c>
      <c r="F69">
        <v>3</v>
      </c>
      <c r="G69">
        <f t="shared" si="12"/>
        <v>48.832166666666659</v>
      </c>
      <c r="H69">
        <f>getNumber(Task_Table1!F69)</f>
        <v>60</v>
      </c>
      <c r="I69">
        <f t="shared" si="13"/>
        <v>60</v>
      </c>
      <c r="J69">
        <f t="shared" si="14"/>
        <v>3</v>
      </c>
    </row>
    <row r="70" spans="1:10" x14ac:dyDescent="0.2">
      <c r="A70" s="8" t="s">
        <v>391</v>
      </c>
      <c r="B70" s="8" t="s">
        <v>248</v>
      </c>
      <c r="C70">
        <v>928.11</v>
      </c>
      <c r="E70">
        <v>10.312333333333333</v>
      </c>
      <c r="F70">
        <v>3</v>
      </c>
      <c r="G70">
        <f t="shared" si="12"/>
        <v>30.936999999999998</v>
      </c>
      <c r="H70">
        <f>getNumber(Task_Table1!F70)</f>
        <v>30</v>
      </c>
      <c r="I70">
        <f t="shared" si="13"/>
        <v>30</v>
      </c>
      <c r="J70">
        <f t="shared" si="14"/>
        <v>3</v>
      </c>
    </row>
    <row r="71" spans="1:10" x14ac:dyDescent="0.2">
      <c r="A71" s="8" t="s">
        <v>396</v>
      </c>
      <c r="B71" s="8" t="s">
        <v>253</v>
      </c>
      <c r="C71">
        <v>18</v>
      </c>
      <c r="E71">
        <v>0.6</v>
      </c>
      <c r="F71">
        <v>1</v>
      </c>
      <c r="G71">
        <f t="shared" si="12"/>
        <v>0.6</v>
      </c>
      <c r="H71">
        <f>getNumber(Task_Table1!F71)</f>
        <v>30</v>
      </c>
      <c r="I71">
        <f t="shared" si="13"/>
        <v>30</v>
      </c>
      <c r="J71">
        <f t="shared" si="14"/>
        <v>1</v>
      </c>
    </row>
    <row r="72" spans="1:10" x14ac:dyDescent="0.2">
      <c r="A72" s="8" t="s">
        <v>400</v>
      </c>
      <c r="B72" s="8" t="s">
        <v>258</v>
      </c>
      <c r="C72">
        <v>163</v>
      </c>
      <c r="E72">
        <v>5.4333333333333336</v>
      </c>
      <c r="F72">
        <v>1</v>
      </c>
      <c r="G72">
        <f t="shared" si="12"/>
        <v>5.4333333333333336</v>
      </c>
      <c r="H72">
        <f>getNumber(Task_Table1!F72)</f>
        <v>30</v>
      </c>
      <c r="I72">
        <f t="shared" si="13"/>
        <v>30</v>
      </c>
      <c r="J72">
        <f t="shared" si="14"/>
        <v>1</v>
      </c>
    </row>
    <row r="73" spans="1:10" x14ac:dyDescent="0.2">
      <c r="A73" s="8" t="s">
        <v>402</v>
      </c>
      <c r="B73" s="8" t="s">
        <v>261</v>
      </c>
      <c r="C73">
        <v>4091</v>
      </c>
      <c r="E73">
        <v>34.091666666666669</v>
      </c>
      <c r="F73">
        <v>4</v>
      </c>
      <c r="G73">
        <f t="shared" si="12"/>
        <v>136.36666666666667</v>
      </c>
      <c r="H73">
        <f>getNumber(Task_Table1!F73)</f>
        <v>30</v>
      </c>
      <c r="I73">
        <f t="shared" si="13"/>
        <v>30</v>
      </c>
      <c r="J73">
        <f t="shared" si="14"/>
        <v>4</v>
      </c>
    </row>
    <row r="74" spans="1:10" x14ac:dyDescent="0.2">
      <c r="A74" s="8" t="s">
        <v>404</v>
      </c>
      <c r="B74" s="8" t="s">
        <v>264</v>
      </c>
      <c r="G74" s="6"/>
      <c r="H74" s="6"/>
      <c r="I74" s="6"/>
      <c r="J74" s="6"/>
    </row>
    <row r="75" spans="1:10" x14ac:dyDescent="0.2">
      <c r="A75" s="8" t="s">
        <v>406</v>
      </c>
      <c r="B75" s="8" t="s">
        <v>1071</v>
      </c>
      <c r="C75">
        <f>306.3/3</f>
        <v>102.10000000000001</v>
      </c>
      <c r="E75">
        <v>3.4033333333333338</v>
      </c>
      <c r="F75">
        <v>2</v>
      </c>
      <c r="G75">
        <f>F75*E75</f>
        <v>6.8066666666666675</v>
      </c>
      <c r="H75">
        <f>getNumber(Task_Table1!F75)</f>
        <v>15</v>
      </c>
      <c r="I75">
        <f>IF(ISERROR(C75/G75),0,ROUNDUP(C75/G75,0))</f>
        <v>15</v>
      </c>
      <c r="J75">
        <f>IF(ISERROR(C75/(E75*H75)),0,ROUNDUP(C75/(E75*H75),0))</f>
        <v>2</v>
      </c>
    </row>
    <row r="76" spans="1:10" x14ac:dyDescent="0.2">
      <c r="A76" s="8" t="s">
        <v>408</v>
      </c>
      <c r="B76" s="8" t="s">
        <v>1072</v>
      </c>
      <c r="C76">
        <f>306.3/3</f>
        <v>102.10000000000001</v>
      </c>
      <c r="E76">
        <v>3.4033333333333338</v>
      </c>
      <c r="F76">
        <v>2</v>
      </c>
      <c r="G76">
        <f>F76*E76</f>
        <v>6.8066666666666675</v>
      </c>
      <c r="H76">
        <f>getNumber(Task_Table1!F76)</f>
        <v>15</v>
      </c>
      <c r="I76">
        <f>IF(ISERROR(C76/G76),0,ROUNDUP(C76/G76,0))</f>
        <v>15</v>
      </c>
      <c r="J76">
        <f>IF(ISERROR(C76/(E76*H76)),0,ROUNDUP(C76/(E76*H76),0))</f>
        <v>2</v>
      </c>
    </row>
    <row r="77" spans="1:10" x14ac:dyDescent="0.2">
      <c r="A77" s="8" t="s">
        <v>411</v>
      </c>
      <c r="B77" s="8" t="s">
        <v>1073</v>
      </c>
      <c r="C77">
        <f>306.3/3</f>
        <v>102.10000000000001</v>
      </c>
      <c r="E77">
        <v>3.4033333333333338</v>
      </c>
      <c r="F77">
        <v>2</v>
      </c>
      <c r="G77">
        <f>F77*E77</f>
        <v>6.8066666666666675</v>
      </c>
      <c r="H77">
        <f>getNumber(Task_Table1!F77)</f>
        <v>15</v>
      </c>
      <c r="I77">
        <f>IF(ISERROR(C77/G77),0,ROUNDUP(C77/G77,0))</f>
        <v>15</v>
      </c>
      <c r="J77">
        <f>IF(ISERROR(C77/(E77*H77)),0,ROUNDUP(C77/(E77*H77),0))</f>
        <v>2</v>
      </c>
    </row>
    <row r="78" spans="1:10" x14ac:dyDescent="0.2">
      <c r="A78" s="8" t="s">
        <v>413</v>
      </c>
      <c r="B78" s="8" t="s">
        <v>415</v>
      </c>
      <c r="G78" s="6"/>
      <c r="H78" s="6"/>
      <c r="I78" s="6"/>
      <c r="J78" s="6"/>
    </row>
    <row r="79" spans="1:10" x14ac:dyDescent="0.2">
      <c r="A79" s="8" t="s">
        <v>416</v>
      </c>
      <c r="B79" s="8" t="s">
        <v>297</v>
      </c>
      <c r="G79" s="6"/>
      <c r="H79" s="6"/>
      <c r="I79" s="6"/>
      <c r="J79" s="6"/>
    </row>
    <row r="80" spans="1:10" x14ac:dyDescent="0.2">
      <c r="A80" s="8" t="s">
        <v>418</v>
      </c>
      <c r="B80" s="8" t="s">
        <v>1071</v>
      </c>
      <c r="C80">
        <f>376.47/3</f>
        <v>125.49000000000001</v>
      </c>
      <c r="E80">
        <v>0.99595238095238103</v>
      </c>
      <c r="F80">
        <v>1</v>
      </c>
      <c r="G80">
        <f>F80*E80</f>
        <v>0.99595238095238103</v>
      </c>
      <c r="H80">
        <f>getNumber(Task_Table1!F80)</f>
        <v>126</v>
      </c>
      <c r="I80">
        <f>IF(ISERROR(C80/G80),0,ROUNDUP(C80/G80,0))</f>
        <v>126</v>
      </c>
      <c r="J80">
        <f>IF(ISERROR(C80/(E80*H80)),0,ROUNDUP(C80/(E80*H80),0))</f>
        <v>1</v>
      </c>
    </row>
    <row r="81" spans="1:10" x14ac:dyDescent="0.2">
      <c r="A81" s="8" t="s">
        <v>420</v>
      </c>
      <c r="B81" s="8" t="s">
        <v>1072</v>
      </c>
      <c r="C81">
        <f>376.47/3</f>
        <v>125.49000000000001</v>
      </c>
      <c r="E81">
        <v>0.99595238095238103</v>
      </c>
      <c r="F81">
        <v>1</v>
      </c>
      <c r="G81">
        <f>F81*E81</f>
        <v>0.99595238095238103</v>
      </c>
      <c r="H81">
        <f>getNumber(Task_Table1!F81)</f>
        <v>126</v>
      </c>
      <c r="I81">
        <f>IF(ISERROR(C81/G81),0,ROUNDUP(C81/G81,0))</f>
        <v>126</v>
      </c>
      <c r="J81">
        <f>IF(ISERROR(C81/(E81*H81)),0,ROUNDUP(C81/(E81*H81),0))</f>
        <v>1</v>
      </c>
    </row>
    <row r="82" spans="1:10" x14ac:dyDescent="0.2">
      <c r="A82" s="8" t="s">
        <v>422</v>
      </c>
      <c r="B82" s="8" t="s">
        <v>1073</v>
      </c>
      <c r="C82">
        <f>376.47/3</f>
        <v>125.49000000000001</v>
      </c>
      <c r="E82">
        <v>0.99595238095238103</v>
      </c>
      <c r="F82">
        <v>1</v>
      </c>
      <c r="G82">
        <f>F82*E82</f>
        <v>0.99595238095238103</v>
      </c>
      <c r="H82">
        <f>getNumber(Task_Table1!F82)</f>
        <v>126</v>
      </c>
      <c r="I82">
        <f>IF(ISERROR(C82/G82),0,ROUNDUP(C82/G82,0))</f>
        <v>126</v>
      </c>
      <c r="J82">
        <f>IF(ISERROR(C82/(E82*H82)),0,ROUNDUP(C82/(E82*H82),0))</f>
        <v>1</v>
      </c>
    </row>
    <row r="83" spans="1:10" x14ac:dyDescent="0.2">
      <c r="A83" s="8" t="s">
        <v>424</v>
      </c>
      <c r="B83" s="8" t="s">
        <v>426</v>
      </c>
      <c r="G83" s="6"/>
      <c r="H83" s="6"/>
      <c r="I83" s="6"/>
      <c r="J83" s="6"/>
    </row>
    <row r="84" spans="1:10" x14ac:dyDescent="0.2">
      <c r="A84" s="8" t="s">
        <v>427</v>
      </c>
      <c r="B84" s="8" t="s">
        <v>1071</v>
      </c>
      <c r="C84">
        <f>808.74/3</f>
        <v>269.58</v>
      </c>
      <c r="E84">
        <v>2.1395238095238094</v>
      </c>
      <c r="F84">
        <v>1</v>
      </c>
      <c r="G84">
        <f>F84*E84</f>
        <v>2.1395238095238094</v>
      </c>
      <c r="H84">
        <f>getNumber(Task_Table1!F84)</f>
        <v>126</v>
      </c>
      <c r="I84">
        <f>IF(ISERROR(C84/G84),0,ROUNDUP(C84/G84,0))</f>
        <v>126</v>
      </c>
      <c r="J84">
        <f>IF(ISERROR(C84/(E84*H84)),0,ROUNDUP(C84/(E84*H84),0))</f>
        <v>1</v>
      </c>
    </row>
    <row r="85" spans="1:10" x14ac:dyDescent="0.2">
      <c r="A85" s="8" t="s">
        <v>429</v>
      </c>
      <c r="B85" s="8" t="s">
        <v>1072</v>
      </c>
      <c r="C85">
        <f>808.74/3</f>
        <v>269.58</v>
      </c>
      <c r="E85">
        <v>2.1395238095238094</v>
      </c>
      <c r="F85">
        <v>1</v>
      </c>
      <c r="G85">
        <f>F85*E85</f>
        <v>2.1395238095238094</v>
      </c>
      <c r="H85">
        <f>getNumber(Task_Table1!F85)</f>
        <v>126</v>
      </c>
      <c r="I85">
        <f>IF(ISERROR(C85/G85),0,ROUNDUP(C85/G85,0))</f>
        <v>126</v>
      </c>
      <c r="J85">
        <f>IF(ISERROR(C85/(E85*H85)),0,ROUNDUP(C85/(E85*H85),0))</f>
        <v>1</v>
      </c>
    </row>
    <row r="86" spans="1:10" x14ac:dyDescent="0.2">
      <c r="A86" s="8" t="s">
        <v>432</v>
      </c>
      <c r="B86" s="8" t="s">
        <v>1073</v>
      </c>
      <c r="C86">
        <f>808.74/3</f>
        <v>269.58</v>
      </c>
      <c r="E86">
        <v>2.1395238095238094</v>
      </c>
      <c r="F86">
        <v>1</v>
      </c>
      <c r="G86">
        <f>F86*E86</f>
        <v>2.1395238095238094</v>
      </c>
      <c r="H86">
        <f>getNumber(Task_Table1!F86)</f>
        <v>126</v>
      </c>
      <c r="I86">
        <f>IF(ISERROR(C86/G86),0,ROUNDUP(C86/G86,0))</f>
        <v>126</v>
      </c>
      <c r="J86">
        <f>IF(ISERROR(C86/(E86*H86)),0,ROUNDUP(C86/(E86*H86),0))</f>
        <v>1</v>
      </c>
    </row>
    <row r="87" spans="1:10" x14ac:dyDescent="0.2">
      <c r="A87" s="8" t="s">
        <v>434</v>
      </c>
      <c r="B87" s="8" t="s">
        <v>436</v>
      </c>
      <c r="G87" s="6"/>
      <c r="H87" s="6"/>
      <c r="I87" s="6"/>
      <c r="J87" s="6"/>
    </row>
    <row r="88" spans="1:10" x14ac:dyDescent="0.2">
      <c r="A88" s="8" t="s">
        <v>443</v>
      </c>
      <c r="B88" s="8" t="s">
        <v>338</v>
      </c>
      <c r="C88">
        <v>420.76</v>
      </c>
      <c r="E88">
        <v>3.5063333333333331</v>
      </c>
      <c r="F88">
        <v>2</v>
      </c>
      <c r="G88">
        <f t="shared" ref="G88:G93" si="15">F88*E88</f>
        <v>7.0126666666666662</v>
      </c>
      <c r="H88">
        <f>getNumber(Task_Table1!F88)</f>
        <v>60</v>
      </c>
      <c r="I88">
        <f t="shared" ref="I88:I93" si="16">IF(ISERROR(C88/G88),0,ROUNDUP(C88/G88,0))</f>
        <v>60</v>
      </c>
      <c r="J88">
        <f t="shared" ref="J88:J93" si="17">IF(ISERROR(C88/(E88*H88)),0,ROUNDUP(C88/(E88*H88),0))</f>
        <v>2</v>
      </c>
    </row>
    <row r="89" spans="1:10" x14ac:dyDescent="0.2">
      <c r="A89" s="8" t="s">
        <v>446</v>
      </c>
      <c r="B89" s="8" t="s">
        <v>343</v>
      </c>
      <c r="C89">
        <v>186</v>
      </c>
      <c r="E89">
        <v>3.1</v>
      </c>
      <c r="F89">
        <v>1</v>
      </c>
      <c r="G89">
        <f t="shared" si="15"/>
        <v>3.1</v>
      </c>
      <c r="H89">
        <f>getNumber(Task_Table1!F89)</f>
        <v>60</v>
      </c>
      <c r="I89">
        <f t="shared" si="16"/>
        <v>60</v>
      </c>
      <c r="J89">
        <f t="shared" si="17"/>
        <v>1</v>
      </c>
    </row>
    <row r="90" spans="1:10" x14ac:dyDescent="0.2">
      <c r="A90" s="8" t="s">
        <v>448</v>
      </c>
      <c r="B90" s="8" t="s">
        <v>346</v>
      </c>
      <c r="C90">
        <v>7925</v>
      </c>
      <c r="E90">
        <v>99.0625</v>
      </c>
      <c r="F90">
        <v>1</v>
      </c>
      <c r="G90">
        <f t="shared" si="15"/>
        <v>99.0625</v>
      </c>
      <c r="H90">
        <f>getNumber(Task_Table1!F90)</f>
        <v>80</v>
      </c>
      <c r="I90">
        <f t="shared" si="16"/>
        <v>80</v>
      </c>
      <c r="J90">
        <f t="shared" si="17"/>
        <v>1</v>
      </c>
    </row>
    <row r="91" spans="1:10" x14ac:dyDescent="0.2">
      <c r="A91" s="8" t="s">
        <v>453</v>
      </c>
      <c r="B91" s="8" t="s">
        <v>353</v>
      </c>
      <c r="C91">
        <v>2536</v>
      </c>
      <c r="E91">
        <v>31.7</v>
      </c>
      <c r="F91">
        <v>1</v>
      </c>
      <c r="G91">
        <f t="shared" si="15"/>
        <v>31.7</v>
      </c>
      <c r="H91">
        <f>getNumber(Task_Table1!F91)</f>
        <v>80</v>
      </c>
      <c r="I91">
        <f t="shared" si="16"/>
        <v>80</v>
      </c>
      <c r="J91">
        <f t="shared" si="17"/>
        <v>1</v>
      </c>
    </row>
    <row r="92" spans="1:10" x14ac:dyDescent="0.2">
      <c r="A92" s="8" t="s">
        <v>455</v>
      </c>
      <c r="B92" s="8" t="s">
        <v>357</v>
      </c>
      <c r="C92">
        <v>1600</v>
      </c>
      <c r="E92">
        <v>20</v>
      </c>
      <c r="F92">
        <v>1</v>
      </c>
      <c r="G92">
        <f t="shared" si="15"/>
        <v>20</v>
      </c>
      <c r="H92">
        <f>getNumber(Task_Table1!F92)</f>
        <v>80</v>
      </c>
      <c r="I92">
        <f t="shared" si="16"/>
        <v>80</v>
      </c>
      <c r="J92">
        <f t="shared" si="17"/>
        <v>1</v>
      </c>
    </row>
    <row r="93" spans="1:10" x14ac:dyDescent="0.2">
      <c r="A93" s="8" t="s">
        <v>457</v>
      </c>
      <c r="B93" s="8" t="s">
        <v>459</v>
      </c>
      <c r="C93">
        <v>357.6</v>
      </c>
      <c r="E93">
        <v>0.9933333333333334</v>
      </c>
      <c r="F93">
        <v>2</v>
      </c>
      <c r="G93">
        <f t="shared" si="15"/>
        <v>1.9866666666666668</v>
      </c>
      <c r="H93">
        <f>getNumber(Task_Table1!F93)</f>
        <v>180</v>
      </c>
      <c r="I93">
        <f t="shared" si="16"/>
        <v>180</v>
      </c>
      <c r="J93">
        <f t="shared" si="17"/>
        <v>2</v>
      </c>
    </row>
    <row r="94" spans="1:10" x14ac:dyDescent="0.2">
      <c r="A94" s="8" t="s">
        <v>464</v>
      </c>
      <c r="B94" s="8" t="s">
        <v>466</v>
      </c>
      <c r="G94" s="6"/>
      <c r="H94" s="6"/>
      <c r="I94" s="6"/>
      <c r="J94" s="6"/>
    </row>
    <row r="95" spans="1:10" x14ac:dyDescent="0.2">
      <c r="A95" s="8" t="s">
        <v>470</v>
      </c>
      <c r="B95" s="8" t="s">
        <v>472</v>
      </c>
      <c r="C95">
        <v>8497.15</v>
      </c>
      <c r="E95">
        <v>17.702395833333334</v>
      </c>
      <c r="F95">
        <v>16</v>
      </c>
      <c r="G95">
        <f>F95*E95</f>
        <v>283.23833333333334</v>
      </c>
      <c r="H95">
        <f>getNumber(Task_Table1!F95)</f>
        <v>30</v>
      </c>
      <c r="I95">
        <f>IF(ISERROR(C95/G95),0,ROUNDUP(C95/G95,0))</f>
        <v>30</v>
      </c>
      <c r="J95">
        <f>IF(ISERROR(C95/(E95*H95)),0,ROUNDUP(C95/(E95*H95),0))</f>
        <v>16</v>
      </c>
    </row>
    <row r="96" spans="1:10" x14ac:dyDescent="0.2">
      <c r="A96" s="8" t="s">
        <v>477</v>
      </c>
      <c r="B96" s="8" t="s">
        <v>479</v>
      </c>
      <c r="G96" s="6"/>
      <c r="H96" s="6"/>
      <c r="I96" s="6"/>
      <c r="J96" s="6"/>
    </row>
    <row r="97" spans="1:10" x14ac:dyDescent="0.2">
      <c r="A97" s="8" t="s">
        <v>483</v>
      </c>
      <c r="B97" s="8" t="s">
        <v>231</v>
      </c>
      <c r="C97">
        <v>2805.55</v>
      </c>
      <c r="E97">
        <v>15.586388888888889</v>
      </c>
      <c r="F97">
        <v>6</v>
      </c>
      <c r="G97">
        <f t="shared" ref="G97:G102" si="18">F97*E97</f>
        <v>93.518333333333331</v>
      </c>
      <c r="H97">
        <f>getNumber(Task_Table1!F97)</f>
        <v>30</v>
      </c>
      <c r="I97">
        <f t="shared" ref="I97:I102" si="19">IF(ISERROR(C97/G97),0,ROUNDUP(C97/G97,0))</f>
        <v>30</v>
      </c>
      <c r="J97">
        <f t="shared" ref="J97:J102" si="20">IF(ISERROR(C97/(E97*H97)),0,ROUNDUP(C97/(E97*H97),0))</f>
        <v>6</v>
      </c>
    </row>
    <row r="98" spans="1:10" x14ac:dyDescent="0.2">
      <c r="A98" s="8" t="s">
        <v>488</v>
      </c>
      <c r="B98" s="8" t="s">
        <v>239</v>
      </c>
      <c r="C98">
        <v>3102.01</v>
      </c>
      <c r="E98">
        <v>12.925041666666667</v>
      </c>
      <c r="F98">
        <v>4</v>
      </c>
      <c r="G98">
        <f t="shared" si="18"/>
        <v>51.700166666666668</v>
      </c>
      <c r="H98">
        <f>getNumber(Task_Table1!F98)</f>
        <v>60</v>
      </c>
      <c r="I98">
        <f t="shared" si="19"/>
        <v>60</v>
      </c>
      <c r="J98">
        <f t="shared" si="20"/>
        <v>4</v>
      </c>
    </row>
    <row r="99" spans="1:10" x14ac:dyDescent="0.2">
      <c r="A99" s="8" t="s">
        <v>495</v>
      </c>
      <c r="B99" s="8" t="s">
        <v>248</v>
      </c>
      <c r="C99">
        <v>2094.11</v>
      </c>
      <c r="E99">
        <v>8.725458333333334</v>
      </c>
      <c r="F99">
        <v>8</v>
      </c>
      <c r="G99">
        <f t="shared" si="18"/>
        <v>69.803666666666672</v>
      </c>
      <c r="H99">
        <f>getNumber(Task_Table1!F99)</f>
        <v>30</v>
      </c>
      <c r="I99">
        <f t="shared" si="19"/>
        <v>30</v>
      </c>
      <c r="J99">
        <f t="shared" si="20"/>
        <v>8</v>
      </c>
    </row>
    <row r="100" spans="1:10" x14ac:dyDescent="0.2">
      <c r="A100" s="8" t="s">
        <v>500</v>
      </c>
      <c r="B100" s="8" t="s">
        <v>253</v>
      </c>
      <c r="C100">
        <v>45.3</v>
      </c>
      <c r="E100">
        <v>0.3775</v>
      </c>
      <c r="F100">
        <v>4</v>
      </c>
      <c r="G100">
        <f t="shared" si="18"/>
        <v>1.51</v>
      </c>
      <c r="H100">
        <f>getNumber(Task_Table1!F100)</f>
        <v>30</v>
      </c>
      <c r="I100">
        <f t="shared" si="19"/>
        <v>30</v>
      </c>
      <c r="J100">
        <f t="shared" si="20"/>
        <v>4</v>
      </c>
    </row>
    <row r="101" spans="1:10" x14ac:dyDescent="0.2">
      <c r="A101" s="8" t="s">
        <v>504</v>
      </c>
      <c r="B101" s="8" t="s">
        <v>258</v>
      </c>
      <c r="C101">
        <v>117</v>
      </c>
      <c r="E101">
        <v>3.9</v>
      </c>
      <c r="F101">
        <v>1</v>
      </c>
      <c r="G101">
        <f t="shared" si="18"/>
        <v>3.9</v>
      </c>
      <c r="H101">
        <f>getNumber(Task_Table1!F101)</f>
        <v>30</v>
      </c>
      <c r="I101">
        <f t="shared" si="19"/>
        <v>30</v>
      </c>
      <c r="J101">
        <f t="shared" si="20"/>
        <v>1</v>
      </c>
    </row>
    <row r="102" spans="1:10" x14ac:dyDescent="0.2">
      <c r="A102" s="8" t="s">
        <v>506</v>
      </c>
      <c r="B102" s="8" t="s">
        <v>261</v>
      </c>
      <c r="C102">
        <v>4717</v>
      </c>
      <c r="E102">
        <v>31.446666666666665</v>
      </c>
      <c r="F102">
        <v>5</v>
      </c>
      <c r="G102">
        <f t="shared" si="18"/>
        <v>157.23333333333332</v>
      </c>
      <c r="H102">
        <f>getNumber(Task_Table1!F102)</f>
        <v>30</v>
      </c>
      <c r="I102">
        <f t="shared" si="19"/>
        <v>30</v>
      </c>
      <c r="J102">
        <f t="shared" si="20"/>
        <v>5</v>
      </c>
    </row>
    <row r="103" spans="1:10" x14ac:dyDescent="0.2">
      <c r="A103" s="8" t="s">
        <v>508</v>
      </c>
      <c r="B103" s="8" t="s">
        <v>264</v>
      </c>
      <c r="G103" s="6"/>
      <c r="H103" s="6"/>
      <c r="I103" s="6"/>
      <c r="J103" s="6"/>
    </row>
    <row r="104" spans="1:10" x14ac:dyDescent="0.2">
      <c r="A104" s="8" t="s">
        <v>510</v>
      </c>
      <c r="B104" s="8" t="s">
        <v>1071</v>
      </c>
      <c r="C104">
        <f>306.3/3</f>
        <v>102.10000000000001</v>
      </c>
      <c r="E104">
        <v>3.4033333333333338</v>
      </c>
      <c r="F104">
        <v>2</v>
      </c>
      <c r="G104">
        <f>F104*E104</f>
        <v>6.8066666666666675</v>
      </c>
      <c r="H104">
        <f>getNumber(Task_Table1!F104)</f>
        <v>15</v>
      </c>
      <c r="I104">
        <f>IF(ISERROR(C104/G104),0,ROUNDUP(C104/G104,0))</f>
        <v>15</v>
      </c>
      <c r="J104">
        <f>IF(ISERROR(C104/(E104*H104)),0,ROUNDUP(C104/(E104*H104),0))</f>
        <v>2</v>
      </c>
    </row>
    <row r="105" spans="1:10" x14ac:dyDescent="0.2">
      <c r="A105" s="8" t="s">
        <v>512</v>
      </c>
      <c r="B105" s="8" t="s">
        <v>1072</v>
      </c>
      <c r="C105">
        <f>306.3/3</f>
        <v>102.10000000000001</v>
      </c>
      <c r="E105">
        <v>3.4033333333333338</v>
      </c>
      <c r="F105">
        <v>2</v>
      </c>
      <c r="G105">
        <f>F105*E105</f>
        <v>6.8066666666666675</v>
      </c>
      <c r="H105">
        <f>getNumber(Task_Table1!F105)</f>
        <v>15</v>
      </c>
      <c r="I105">
        <f>IF(ISERROR(C105/G105),0,ROUNDUP(C105/G105,0))</f>
        <v>15</v>
      </c>
      <c r="J105">
        <f>IF(ISERROR(C105/(E105*H105)),0,ROUNDUP(C105/(E105*H105),0))</f>
        <v>2</v>
      </c>
    </row>
    <row r="106" spans="1:10" x14ac:dyDescent="0.2">
      <c r="A106" s="8" t="s">
        <v>515</v>
      </c>
      <c r="B106" s="8" t="s">
        <v>1073</v>
      </c>
      <c r="C106">
        <f>306.3/3</f>
        <v>102.10000000000001</v>
      </c>
      <c r="E106">
        <v>3.4033333333333338</v>
      </c>
      <c r="F106">
        <v>2</v>
      </c>
      <c r="G106">
        <f>F106*E106</f>
        <v>6.8066666666666675</v>
      </c>
      <c r="H106">
        <f>getNumber(Task_Table1!F106)</f>
        <v>15</v>
      </c>
      <c r="I106">
        <f>IF(ISERROR(C106/G106),0,ROUNDUP(C106/G106,0))</f>
        <v>15</v>
      </c>
      <c r="J106">
        <f>IF(ISERROR(C106/(E106*H106)),0,ROUNDUP(C106/(E106*H106),0))</f>
        <v>2</v>
      </c>
    </row>
    <row r="107" spans="1:10" x14ac:dyDescent="0.2">
      <c r="A107" s="8" t="s">
        <v>517</v>
      </c>
      <c r="B107" s="8" t="s">
        <v>519</v>
      </c>
      <c r="G107" s="6"/>
      <c r="H107" s="6"/>
      <c r="I107" s="6"/>
      <c r="J107" s="6"/>
    </row>
    <row r="108" spans="1:10" x14ac:dyDescent="0.2">
      <c r="A108" s="8" t="s">
        <v>520</v>
      </c>
      <c r="B108" s="8" t="s">
        <v>297</v>
      </c>
      <c r="G108" s="6"/>
      <c r="H108" s="6"/>
      <c r="I108" s="6"/>
      <c r="J108" s="6"/>
    </row>
    <row r="109" spans="1:10" x14ac:dyDescent="0.2">
      <c r="A109" s="8" t="s">
        <v>522</v>
      </c>
      <c r="B109" s="8" t="s">
        <v>1071</v>
      </c>
      <c r="C109">
        <f>385.21/3</f>
        <v>128.40333333333334</v>
      </c>
      <c r="E109">
        <v>1.019074074074074</v>
      </c>
      <c r="F109">
        <v>1</v>
      </c>
      <c r="G109">
        <f>F109*E109</f>
        <v>1.019074074074074</v>
      </c>
      <c r="H109">
        <f>getNumber(Task_Table1!F109)</f>
        <v>126</v>
      </c>
      <c r="I109">
        <f>IF(ISERROR(C109/G109),0,ROUNDUP(C109/G109,0))</f>
        <v>126</v>
      </c>
      <c r="J109">
        <f>IF(ISERROR(C109/(E109*H109)),0,ROUNDUP(C109/(E109*H109),0))</f>
        <v>1</v>
      </c>
    </row>
    <row r="110" spans="1:10" x14ac:dyDescent="0.2">
      <c r="A110" s="8" t="s">
        <v>524</v>
      </c>
      <c r="B110" s="8" t="s">
        <v>1072</v>
      </c>
      <c r="C110">
        <f>385.21/3</f>
        <v>128.40333333333334</v>
      </c>
      <c r="E110">
        <v>1.019074074074074</v>
      </c>
      <c r="F110">
        <v>1</v>
      </c>
      <c r="G110">
        <f>F110*E110</f>
        <v>1.019074074074074</v>
      </c>
      <c r="H110">
        <f>getNumber(Task_Table1!F110)</f>
        <v>126</v>
      </c>
      <c r="I110">
        <f>IF(ISERROR(C110/G110),0,ROUNDUP(C110/G110,0))</f>
        <v>126</v>
      </c>
      <c r="J110">
        <f>IF(ISERROR(C110/(E110*H110)),0,ROUNDUP(C110/(E110*H110),0))</f>
        <v>1</v>
      </c>
    </row>
    <row r="111" spans="1:10" x14ac:dyDescent="0.2">
      <c r="A111" s="8" t="s">
        <v>526</v>
      </c>
      <c r="B111" s="8" t="s">
        <v>1073</v>
      </c>
      <c r="C111">
        <f>385.21/3</f>
        <v>128.40333333333334</v>
      </c>
      <c r="E111">
        <v>1.019074074074074</v>
      </c>
      <c r="F111">
        <v>1</v>
      </c>
      <c r="G111">
        <f>F111*E111</f>
        <v>1.019074074074074</v>
      </c>
      <c r="H111">
        <f>getNumber(Task_Table1!F111)</f>
        <v>126</v>
      </c>
      <c r="I111">
        <f>IF(ISERROR(C111/G111),0,ROUNDUP(C111/G111,0))</f>
        <v>126</v>
      </c>
      <c r="J111">
        <f>IF(ISERROR(C111/(E111*H111)),0,ROUNDUP(C111/(E111*H111),0))</f>
        <v>1</v>
      </c>
    </row>
    <row r="112" spans="1:10" x14ac:dyDescent="0.2">
      <c r="A112" s="8" t="s">
        <v>528</v>
      </c>
      <c r="B112" s="8" t="s">
        <v>530</v>
      </c>
      <c r="G112" s="6"/>
      <c r="H112" s="6"/>
      <c r="I112" s="6"/>
      <c r="J112" s="6"/>
    </row>
    <row r="113" spans="1:10" x14ac:dyDescent="0.2">
      <c r="A113" s="8" t="s">
        <v>531</v>
      </c>
      <c r="B113" s="8" t="s">
        <v>1071</v>
      </c>
      <c r="C113">
        <f>808.74/3</f>
        <v>269.58</v>
      </c>
      <c r="E113">
        <v>2.1395238095238094</v>
      </c>
      <c r="F113">
        <v>1</v>
      </c>
      <c r="G113">
        <f>F113*E113</f>
        <v>2.1395238095238094</v>
      </c>
      <c r="H113">
        <f>getNumber(Task_Table1!F113)</f>
        <v>126</v>
      </c>
      <c r="I113">
        <f>IF(ISERROR(C113/G113),0,ROUNDUP(C113/G113,0))</f>
        <v>126</v>
      </c>
      <c r="J113">
        <f>IF(ISERROR(C113/(E113*H113)),0,ROUNDUP(C113/(E113*H113),0))</f>
        <v>1</v>
      </c>
    </row>
    <row r="114" spans="1:10" x14ac:dyDescent="0.2">
      <c r="A114" s="8" t="s">
        <v>533</v>
      </c>
      <c r="B114" s="8" t="s">
        <v>1072</v>
      </c>
      <c r="C114">
        <f>808.74/3</f>
        <v>269.58</v>
      </c>
      <c r="E114">
        <v>2.1395238095238094</v>
      </c>
      <c r="F114">
        <v>1</v>
      </c>
      <c r="G114">
        <f>F114*E114</f>
        <v>2.1395238095238094</v>
      </c>
      <c r="H114">
        <f>getNumber(Task_Table1!F114)</f>
        <v>126</v>
      </c>
      <c r="I114">
        <f>IF(ISERROR(C114/G114),0,ROUNDUP(C114/G114,0))</f>
        <v>126</v>
      </c>
      <c r="J114">
        <f>IF(ISERROR(C114/(E114*H114)),0,ROUNDUP(C114/(E114*H114),0))</f>
        <v>1</v>
      </c>
    </row>
    <row r="115" spans="1:10" x14ac:dyDescent="0.2">
      <c r="A115" s="8" t="s">
        <v>536</v>
      </c>
      <c r="B115" s="8" t="s">
        <v>1073</v>
      </c>
      <c r="C115">
        <f>808.74/3</f>
        <v>269.58</v>
      </c>
      <c r="E115">
        <v>2.1395238095238094</v>
      </c>
      <c r="F115">
        <v>1</v>
      </c>
      <c r="G115">
        <f>F115*E115</f>
        <v>2.1395238095238094</v>
      </c>
      <c r="H115">
        <f>getNumber(Task_Table1!F115)</f>
        <v>126</v>
      </c>
      <c r="I115">
        <f>IF(ISERROR(C115/G115),0,ROUNDUP(C115/G115,0))</f>
        <v>126</v>
      </c>
      <c r="J115">
        <f>IF(ISERROR(C115/(E115*H115)),0,ROUNDUP(C115/(E115*H115),0))</f>
        <v>1</v>
      </c>
    </row>
    <row r="116" spans="1:10" x14ac:dyDescent="0.2">
      <c r="A116" s="8" t="s">
        <v>538</v>
      </c>
      <c r="B116" s="8" t="s">
        <v>540</v>
      </c>
      <c r="G116" s="6"/>
      <c r="H116" s="6"/>
      <c r="I116" s="6"/>
      <c r="J116" s="6"/>
    </row>
    <row r="117" spans="1:10" x14ac:dyDescent="0.2">
      <c r="A117" s="8" t="s">
        <v>545</v>
      </c>
      <c r="B117" s="8" t="s">
        <v>338</v>
      </c>
      <c r="C117">
        <v>553.16999999999996</v>
      </c>
      <c r="E117">
        <v>3.0731666666666664</v>
      </c>
      <c r="F117">
        <v>3</v>
      </c>
      <c r="G117">
        <f t="shared" ref="G117:G122" si="21">F117*E117</f>
        <v>9.2195</v>
      </c>
      <c r="H117">
        <f>getNumber(Task_Table1!F117)</f>
        <v>60</v>
      </c>
      <c r="I117">
        <f t="shared" ref="I117:I122" si="22">IF(ISERROR(C117/G117),0,ROUNDUP(C117/G117,0))</f>
        <v>60</v>
      </c>
      <c r="J117">
        <f t="shared" ref="J117:J122" si="23">IF(ISERROR(C117/(E117*H117)),0,ROUNDUP(C117/(E117*H117),0))</f>
        <v>3</v>
      </c>
    </row>
    <row r="118" spans="1:10" x14ac:dyDescent="0.2">
      <c r="A118" s="8" t="s">
        <v>549</v>
      </c>
      <c r="B118" s="8" t="s">
        <v>343</v>
      </c>
      <c r="C118">
        <v>310</v>
      </c>
      <c r="E118">
        <v>5.166666666666667</v>
      </c>
      <c r="F118">
        <v>1</v>
      </c>
      <c r="G118">
        <f t="shared" si="21"/>
        <v>5.166666666666667</v>
      </c>
      <c r="H118">
        <f>getNumber(Task_Table1!F118)</f>
        <v>60</v>
      </c>
      <c r="I118">
        <f t="shared" si="22"/>
        <v>60</v>
      </c>
      <c r="J118">
        <f t="shared" si="23"/>
        <v>1</v>
      </c>
    </row>
    <row r="119" spans="1:10" x14ac:dyDescent="0.2">
      <c r="A119" s="8" t="s">
        <v>551</v>
      </c>
      <c r="B119" s="8" t="s">
        <v>346</v>
      </c>
      <c r="C119">
        <v>8911</v>
      </c>
      <c r="E119">
        <v>111.3875</v>
      </c>
      <c r="F119">
        <v>1</v>
      </c>
      <c r="G119">
        <f t="shared" si="21"/>
        <v>111.3875</v>
      </c>
      <c r="H119">
        <f>getNumber(Task_Table1!F119)</f>
        <v>80</v>
      </c>
      <c r="I119">
        <f t="shared" si="22"/>
        <v>80</v>
      </c>
      <c r="J119">
        <f t="shared" si="23"/>
        <v>1</v>
      </c>
    </row>
    <row r="120" spans="1:10" x14ac:dyDescent="0.2">
      <c r="A120" s="8" t="s">
        <v>555</v>
      </c>
      <c r="B120" s="8" t="s">
        <v>353</v>
      </c>
      <c r="C120">
        <v>4896</v>
      </c>
      <c r="E120">
        <v>30.6</v>
      </c>
      <c r="F120">
        <v>2</v>
      </c>
      <c r="G120">
        <f t="shared" si="21"/>
        <v>61.2</v>
      </c>
      <c r="H120">
        <f>getNumber(Task_Table1!F120)</f>
        <v>80</v>
      </c>
      <c r="I120">
        <f t="shared" si="22"/>
        <v>80</v>
      </c>
      <c r="J120">
        <f t="shared" si="23"/>
        <v>2</v>
      </c>
    </row>
    <row r="121" spans="1:10" x14ac:dyDescent="0.2">
      <c r="A121" s="8" t="s">
        <v>557</v>
      </c>
      <c r="B121" s="8" t="s">
        <v>357</v>
      </c>
      <c r="C121">
        <v>1800</v>
      </c>
      <c r="E121">
        <v>22.5</v>
      </c>
      <c r="F121">
        <v>1</v>
      </c>
      <c r="G121">
        <f t="shared" si="21"/>
        <v>22.5</v>
      </c>
      <c r="H121">
        <f>getNumber(Task_Table1!F121)</f>
        <v>80</v>
      </c>
      <c r="I121">
        <f t="shared" si="22"/>
        <v>80</v>
      </c>
      <c r="J121">
        <f t="shared" si="23"/>
        <v>1</v>
      </c>
    </row>
    <row r="122" spans="1:10" x14ac:dyDescent="0.2">
      <c r="A122" s="8" t="s">
        <v>559</v>
      </c>
      <c r="B122" s="8" t="s">
        <v>561</v>
      </c>
      <c r="C122">
        <v>286.16000000000003</v>
      </c>
      <c r="E122">
        <v>0.79488888888888898</v>
      </c>
      <c r="F122">
        <v>2</v>
      </c>
      <c r="G122">
        <f t="shared" si="21"/>
        <v>1.589777777777778</v>
      </c>
      <c r="H122">
        <f>getNumber(Task_Table1!F122)</f>
        <v>180</v>
      </c>
      <c r="I122">
        <f t="shared" si="22"/>
        <v>180</v>
      </c>
      <c r="J122">
        <f t="shared" si="23"/>
        <v>2</v>
      </c>
    </row>
    <row r="123" spans="1:10" x14ac:dyDescent="0.2">
      <c r="A123" s="8" t="s">
        <v>563</v>
      </c>
      <c r="B123" s="8" t="s">
        <v>565</v>
      </c>
      <c r="G123" s="6"/>
      <c r="H123" s="6"/>
      <c r="I123" s="6"/>
      <c r="J123" s="6"/>
    </row>
    <row r="124" spans="1:10" x14ac:dyDescent="0.2">
      <c r="A124" s="8" t="s">
        <v>568</v>
      </c>
      <c r="B124" s="8" t="s">
        <v>570</v>
      </c>
      <c r="C124">
        <v>8241.84</v>
      </c>
      <c r="E124">
        <v>16.160470588235295</v>
      </c>
      <c r="F124">
        <v>17</v>
      </c>
      <c r="G124">
        <f>F124*E124</f>
        <v>274.72800000000001</v>
      </c>
      <c r="H124">
        <f>getNumber(Task_Table1!F124)</f>
        <v>30</v>
      </c>
      <c r="I124">
        <f>IF(ISERROR(C124/G124),0,ROUNDUP(C124/G124,0))</f>
        <v>30</v>
      </c>
      <c r="J124">
        <f>IF(ISERROR(C124/(E124*H124)),0,ROUNDUP(C124/(E124*H124),0))</f>
        <v>17</v>
      </c>
    </row>
    <row r="125" spans="1:10" x14ac:dyDescent="0.2">
      <c r="A125" s="8" t="s">
        <v>575</v>
      </c>
      <c r="B125" s="8" t="s">
        <v>577</v>
      </c>
      <c r="C125">
        <v>2054.3000000000002</v>
      </c>
      <c r="E125">
        <v>3.4238333333333335</v>
      </c>
      <c r="F125">
        <v>8</v>
      </c>
      <c r="G125">
        <f>F125*E125</f>
        <v>27.390666666666668</v>
      </c>
      <c r="H125">
        <f>getNumber(Task_Table1!F125)</f>
        <v>75</v>
      </c>
      <c r="I125">
        <f>IF(ISERROR(C125/G125),0,ROUNDUP(C125/G125,0))</f>
        <v>75</v>
      </c>
      <c r="J125">
        <f>IF(ISERROR(C125/(E125*H125)),0,ROUNDUP(C125/(E125*H125),0))</f>
        <v>8</v>
      </c>
    </row>
    <row r="126" spans="1:10" x14ac:dyDescent="0.2">
      <c r="A126" s="8" t="s">
        <v>583</v>
      </c>
      <c r="B126" s="8" t="s">
        <v>585</v>
      </c>
      <c r="G126" s="6"/>
      <c r="H126" s="6"/>
      <c r="I126" s="6"/>
      <c r="J126" s="6"/>
    </row>
    <row r="127" spans="1:10" x14ac:dyDescent="0.2">
      <c r="A127" s="8" t="s">
        <v>589</v>
      </c>
      <c r="B127" s="8" t="s">
        <v>231</v>
      </c>
      <c r="C127">
        <v>2566.62</v>
      </c>
      <c r="E127">
        <v>17.110799999999998</v>
      </c>
      <c r="F127">
        <v>5</v>
      </c>
      <c r="G127">
        <f t="shared" ref="G127:G133" si="24">F127*E127</f>
        <v>85.553999999999988</v>
      </c>
      <c r="H127">
        <f>getNumber(Task_Table1!F127)</f>
        <v>30</v>
      </c>
      <c r="I127">
        <f t="shared" ref="I127:I133" si="25">IF(ISERROR(C127/G127),0,ROUNDUP(C127/G127,0))</f>
        <v>30</v>
      </c>
      <c r="J127">
        <f t="shared" ref="J127:J133" si="26">IF(ISERROR(C127/(E127*H127)),0,ROUNDUP(C127/(E127*H127),0))</f>
        <v>5</v>
      </c>
    </row>
    <row r="128" spans="1:10" x14ac:dyDescent="0.2">
      <c r="A128" s="8" t="s">
        <v>593</v>
      </c>
      <c r="B128" s="8" t="s">
        <v>239</v>
      </c>
      <c r="C128">
        <v>3965.34</v>
      </c>
      <c r="E128">
        <v>13.2178</v>
      </c>
      <c r="F128">
        <v>5</v>
      </c>
      <c r="G128">
        <f t="shared" si="24"/>
        <v>66.088999999999999</v>
      </c>
      <c r="H128">
        <f>getNumber(Task_Table1!F128)</f>
        <v>60</v>
      </c>
      <c r="I128">
        <f t="shared" si="25"/>
        <v>60</v>
      </c>
      <c r="J128">
        <f t="shared" si="26"/>
        <v>5</v>
      </c>
    </row>
    <row r="129" spans="1:10" x14ac:dyDescent="0.2">
      <c r="A129" s="8" t="s">
        <v>600</v>
      </c>
      <c r="B129" s="8" t="s">
        <v>248</v>
      </c>
      <c r="C129">
        <v>1859.58</v>
      </c>
      <c r="E129">
        <v>8.855142857142857</v>
      </c>
      <c r="F129">
        <v>7</v>
      </c>
      <c r="G129">
        <f t="shared" si="24"/>
        <v>61.985999999999997</v>
      </c>
      <c r="H129">
        <f>getNumber(Task_Table1!F129)</f>
        <v>30</v>
      </c>
      <c r="I129">
        <f t="shared" si="25"/>
        <v>30</v>
      </c>
      <c r="J129">
        <f t="shared" si="26"/>
        <v>7</v>
      </c>
    </row>
    <row r="130" spans="1:10" x14ac:dyDescent="0.2">
      <c r="A130" s="8" t="s">
        <v>603</v>
      </c>
      <c r="B130" s="8" t="s">
        <v>253</v>
      </c>
      <c r="C130">
        <v>42.28</v>
      </c>
      <c r="E130">
        <v>0.17616666666666667</v>
      </c>
      <c r="F130">
        <v>8</v>
      </c>
      <c r="G130">
        <f t="shared" si="24"/>
        <v>1.4093333333333333</v>
      </c>
      <c r="H130">
        <f>getNumber(Task_Table1!F130)</f>
        <v>30</v>
      </c>
      <c r="I130">
        <f t="shared" si="25"/>
        <v>30</v>
      </c>
      <c r="J130">
        <f t="shared" si="26"/>
        <v>8</v>
      </c>
    </row>
    <row r="131" spans="1:10" x14ac:dyDescent="0.2">
      <c r="A131" s="8" t="s">
        <v>606</v>
      </c>
      <c r="B131" s="8" t="s">
        <v>258</v>
      </c>
      <c r="C131">
        <v>315.35000000000002</v>
      </c>
      <c r="E131">
        <v>5.2558333333333334</v>
      </c>
      <c r="F131">
        <v>2</v>
      </c>
      <c r="G131">
        <f t="shared" si="24"/>
        <v>10.511666666666667</v>
      </c>
      <c r="H131">
        <f>getNumber(Task_Table1!F131)</f>
        <v>30</v>
      </c>
      <c r="I131">
        <f t="shared" si="25"/>
        <v>30</v>
      </c>
      <c r="J131">
        <f t="shared" si="26"/>
        <v>2</v>
      </c>
    </row>
    <row r="132" spans="1:10" x14ac:dyDescent="0.2">
      <c r="A132" s="8" t="s">
        <v>608</v>
      </c>
      <c r="B132" s="8" t="s">
        <v>610</v>
      </c>
      <c r="C132">
        <v>35</v>
      </c>
      <c r="E132">
        <v>0.29166666666666669</v>
      </c>
      <c r="F132">
        <v>2</v>
      </c>
      <c r="G132">
        <f t="shared" si="24"/>
        <v>0.58333333333333337</v>
      </c>
      <c r="H132">
        <f>getNumber(Task_Table1!F132)</f>
        <v>60</v>
      </c>
      <c r="I132">
        <f t="shared" si="25"/>
        <v>60</v>
      </c>
      <c r="J132">
        <f t="shared" si="26"/>
        <v>2</v>
      </c>
    </row>
    <row r="133" spans="1:10" x14ac:dyDescent="0.2">
      <c r="A133" s="8" t="s">
        <v>611</v>
      </c>
      <c r="B133" s="8" t="s">
        <v>261</v>
      </c>
      <c r="C133">
        <v>4482</v>
      </c>
      <c r="E133">
        <v>37.35</v>
      </c>
      <c r="F133">
        <v>4</v>
      </c>
      <c r="G133">
        <f t="shared" si="24"/>
        <v>149.4</v>
      </c>
      <c r="H133">
        <f>getNumber(Task_Table1!F133)</f>
        <v>30</v>
      </c>
      <c r="I133">
        <f t="shared" si="25"/>
        <v>30</v>
      </c>
      <c r="J133">
        <f t="shared" si="26"/>
        <v>4</v>
      </c>
    </row>
    <row r="134" spans="1:10" x14ac:dyDescent="0.2">
      <c r="A134" s="8" t="s">
        <v>613</v>
      </c>
      <c r="B134" s="8" t="s">
        <v>264</v>
      </c>
      <c r="G134" s="6"/>
      <c r="H134" s="6"/>
      <c r="I134" s="6"/>
      <c r="J134" s="6"/>
    </row>
    <row r="135" spans="1:10" x14ac:dyDescent="0.2">
      <c r="A135" s="8" t="s">
        <v>615</v>
      </c>
      <c r="B135" s="8" t="s">
        <v>1071</v>
      </c>
      <c r="C135">
        <f>306/3</f>
        <v>102</v>
      </c>
      <c r="E135">
        <v>3.4</v>
      </c>
      <c r="F135">
        <v>2</v>
      </c>
      <c r="G135">
        <f>F135*E135</f>
        <v>6.8</v>
      </c>
      <c r="H135">
        <f>getNumber(Task_Table1!F135)</f>
        <v>15</v>
      </c>
      <c r="I135">
        <f>IF(ISERROR(C135/G135),0,ROUNDUP(C135/G135,0))</f>
        <v>15</v>
      </c>
      <c r="J135">
        <f>IF(ISERROR(C135/(E135*H135)),0,ROUNDUP(C135/(E135*H135),0))</f>
        <v>2</v>
      </c>
    </row>
    <row r="136" spans="1:10" x14ac:dyDescent="0.2">
      <c r="A136" s="8" t="s">
        <v>617</v>
      </c>
      <c r="B136" s="8" t="s">
        <v>1072</v>
      </c>
      <c r="C136">
        <f>306/3</f>
        <v>102</v>
      </c>
      <c r="E136">
        <v>3.4</v>
      </c>
      <c r="F136">
        <v>2</v>
      </c>
      <c r="G136">
        <f>F136*E136</f>
        <v>6.8</v>
      </c>
      <c r="H136">
        <f>getNumber(Task_Table1!F136)</f>
        <v>15</v>
      </c>
      <c r="I136">
        <f>IF(ISERROR(C136/G136),0,ROUNDUP(C136/G136,0))</f>
        <v>15</v>
      </c>
      <c r="J136">
        <f>IF(ISERROR(C136/(E136*H136)),0,ROUNDUP(C136/(E136*H136),0))</f>
        <v>2</v>
      </c>
    </row>
    <row r="137" spans="1:10" x14ac:dyDescent="0.2">
      <c r="A137" s="8" t="s">
        <v>620</v>
      </c>
      <c r="B137" s="8" t="s">
        <v>1073</v>
      </c>
      <c r="C137">
        <f>306/3</f>
        <v>102</v>
      </c>
      <c r="E137">
        <v>3.4</v>
      </c>
      <c r="F137">
        <v>2</v>
      </c>
      <c r="G137">
        <f>F137*E137</f>
        <v>6.8</v>
      </c>
      <c r="H137">
        <f>getNumber(Task_Table1!F137)</f>
        <v>15</v>
      </c>
      <c r="I137">
        <f>IF(ISERROR(C137/G137),0,ROUNDUP(C137/G137,0))</f>
        <v>15</v>
      </c>
      <c r="J137">
        <f>IF(ISERROR(C137/(E137*H137)),0,ROUNDUP(C137/(E137*H137),0))</f>
        <v>2</v>
      </c>
    </row>
    <row r="138" spans="1:10" x14ac:dyDescent="0.2">
      <c r="A138" s="8" t="s">
        <v>622</v>
      </c>
      <c r="B138" s="8" t="s">
        <v>624</v>
      </c>
      <c r="G138" s="6"/>
      <c r="H138" s="6"/>
      <c r="I138" s="6"/>
      <c r="J138" s="6"/>
    </row>
    <row r="139" spans="1:10" x14ac:dyDescent="0.2">
      <c r="A139" s="8" t="s">
        <v>625</v>
      </c>
      <c r="B139" s="8" t="s">
        <v>297</v>
      </c>
      <c r="G139" s="6"/>
      <c r="H139" s="6"/>
      <c r="I139" s="6"/>
      <c r="J139" s="6"/>
    </row>
    <row r="140" spans="1:10" x14ac:dyDescent="0.2">
      <c r="A140" s="8" t="s">
        <v>627</v>
      </c>
      <c r="B140" s="8" t="s">
        <v>1071</v>
      </c>
      <c r="C140">
        <f>376.47/3</f>
        <v>125.49000000000001</v>
      </c>
      <c r="E140">
        <v>0.99595238095238103</v>
      </c>
      <c r="F140">
        <v>1</v>
      </c>
      <c r="G140">
        <f>F140*E140</f>
        <v>0.99595238095238103</v>
      </c>
      <c r="H140">
        <f>getNumber(Task_Table1!F140)</f>
        <v>126</v>
      </c>
      <c r="I140">
        <f>IF(ISERROR(C140/G140),0,ROUNDUP(C140/G140,0))</f>
        <v>126</v>
      </c>
      <c r="J140">
        <f>IF(ISERROR(C140/(E140*H140)),0,ROUNDUP(C140/(E140*H140),0))</f>
        <v>1</v>
      </c>
    </row>
    <row r="141" spans="1:10" x14ac:dyDescent="0.2">
      <c r="A141" s="8" t="s">
        <v>629</v>
      </c>
      <c r="B141" s="8" t="s">
        <v>1072</v>
      </c>
      <c r="C141">
        <f>376.47/3</f>
        <v>125.49000000000001</v>
      </c>
      <c r="E141">
        <v>0.99595238095238103</v>
      </c>
      <c r="F141">
        <v>1</v>
      </c>
      <c r="G141">
        <f>F141*E141</f>
        <v>0.99595238095238103</v>
      </c>
      <c r="H141">
        <f>getNumber(Task_Table1!F141)</f>
        <v>126</v>
      </c>
      <c r="I141">
        <f>IF(ISERROR(C141/G141),0,ROUNDUP(C141/G141,0))</f>
        <v>126</v>
      </c>
      <c r="J141">
        <f>IF(ISERROR(C141/(E141*H141)),0,ROUNDUP(C141/(E141*H141),0))</f>
        <v>1</v>
      </c>
    </row>
    <row r="142" spans="1:10" x14ac:dyDescent="0.2">
      <c r="A142" s="8" t="s">
        <v>632</v>
      </c>
      <c r="B142" s="8" t="s">
        <v>1073</v>
      </c>
      <c r="C142">
        <f>376.47/3</f>
        <v>125.49000000000001</v>
      </c>
      <c r="E142">
        <v>0.99595238095238103</v>
      </c>
      <c r="F142">
        <v>1</v>
      </c>
      <c r="G142">
        <f>F142*E142</f>
        <v>0.99595238095238103</v>
      </c>
      <c r="H142">
        <f>getNumber(Task_Table1!F142)</f>
        <v>126</v>
      </c>
      <c r="I142">
        <f>IF(ISERROR(C142/G142),0,ROUNDUP(C142/G142,0))</f>
        <v>126</v>
      </c>
      <c r="J142">
        <f>IF(ISERROR(C142/(E142*H142)),0,ROUNDUP(C142/(E142*H142),0))</f>
        <v>1</v>
      </c>
    </row>
    <row r="143" spans="1:10" x14ac:dyDescent="0.2">
      <c r="A143" s="8" t="s">
        <v>634</v>
      </c>
      <c r="B143" s="8" t="s">
        <v>530</v>
      </c>
      <c r="G143" s="6"/>
      <c r="H143" s="6"/>
      <c r="I143" s="6"/>
      <c r="J143" s="6"/>
    </row>
    <row r="144" spans="1:10" x14ac:dyDescent="0.2">
      <c r="A144" s="8" t="s">
        <v>636</v>
      </c>
      <c r="B144" s="8" t="s">
        <v>1071</v>
      </c>
      <c r="C144">
        <f>898.98/3</f>
        <v>299.66000000000003</v>
      </c>
      <c r="E144">
        <v>2.3782539682539685</v>
      </c>
      <c r="F144">
        <v>1</v>
      </c>
      <c r="G144">
        <f>F144*E144</f>
        <v>2.3782539682539685</v>
      </c>
      <c r="H144">
        <f>getNumber(Task_Table1!F144)</f>
        <v>126</v>
      </c>
      <c r="I144">
        <f>IF(ISERROR(C144/G144),0,ROUNDUP(C144/G144,0))</f>
        <v>126</v>
      </c>
      <c r="J144">
        <f>IF(ISERROR(C144/(E144*H144)),0,ROUNDUP(C144/(E144*H144),0))</f>
        <v>1</v>
      </c>
    </row>
    <row r="145" spans="1:10" x14ac:dyDescent="0.2">
      <c r="A145" s="8" t="s">
        <v>638</v>
      </c>
      <c r="B145" s="8" t="s">
        <v>1072</v>
      </c>
      <c r="C145">
        <f>898.98/3</f>
        <v>299.66000000000003</v>
      </c>
      <c r="E145">
        <v>2.3782539682539685</v>
      </c>
      <c r="F145">
        <v>1</v>
      </c>
      <c r="G145">
        <f>F145*E145</f>
        <v>2.3782539682539685</v>
      </c>
      <c r="H145">
        <f>getNumber(Task_Table1!F145)</f>
        <v>126</v>
      </c>
      <c r="I145">
        <f>IF(ISERROR(C145/G145),0,ROUNDUP(C145/G145,0))</f>
        <v>126</v>
      </c>
      <c r="J145">
        <f>IF(ISERROR(C145/(E145*H145)),0,ROUNDUP(C145/(E145*H145),0))</f>
        <v>1</v>
      </c>
    </row>
    <row r="146" spans="1:10" x14ac:dyDescent="0.2">
      <c r="A146" s="8" t="s">
        <v>641</v>
      </c>
      <c r="B146" s="8" t="s">
        <v>1073</v>
      </c>
      <c r="C146">
        <f>898.98/3</f>
        <v>299.66000000000003</v>
      </c>
      <c r="E146">
        <v>2.3782539682539685</v>
      </c>
      <c r="F146">
        <v>1</v>
      </c>
      <c r="G146">
        <f>F146*E146</f>
        <v>2.3782539682539685</v>
      </c>
      <c r="H146">
        <f>getNumber(Task_Table1!F146)</f>
        <v>126</v>
      </c>
      <c r="I146">
        <f>IF(ISERROR(C146/G146),0,ROUNDUP(C146/G146,0))</f>
        <v>126</v>
      </c>
      <c r="J146">
        <f>IF(ISERROR(C146/(E146*H146)),0,ROUNDUP(C146/(E146*H146),0))</f>
        <v>1</v>
      </c>
    </row>
    <row r="147" spans="1:10" x14ac:dyDescent="0.2">
      <c r="A147" s="8" t="s">
        <v>643</v>
      </c>
      <c r="B147" s="8" t="s">
        <v>645</v>
      </c>
      <c r="G147" s="6"/>
      <c r="H147" s="6"/>
      <c r="I147" s="6"/>
      <c r="J147" s="6"/>
    </row>
    <row r="148" spans="1:10" x14ac:dyDescent="0.2">
      <c r="A148" s="8" t="s">
        <v>646</v>
      </c>
      <c r="B148" s="8" t="s">
        <v>338</v>
      </c>
      <c r="C148">
        <v>405.09</v>
      </c>
      <c r="E148">
        <v>3.3757499999999996</v>
      </c>
      <c r="F148">
        <v>2</v>
      </c>
      <c r="G148">
        <f t="shared" ref="G148:G153" si="27">F148*E148</f>
        <v>6.7514999999999992</v>
      </c>
      <c r="H148">
        <f>getNumber(Task_Table1!F148)</f>
        <v>60</v>
      </c>
      <c r="I148">
        <f t="shared" ref="I148:I153" si="28">IF(ISERROR(C148/G148),0,ROUNDUP(C148/G148,0))</f>
        <v>60</v>
      </c>
      <c r="J148">
        <f t="shared" ref="J148:J153" si="29">IF(ISERROR(C148/(E148*H148)),0,ROUNDUP(C148/(E148*H148),0))</f>
        <v>2</v>
      </c>
    </row>
    <row r="149" spans="1:10" x14ac:dyDescent="0.2">
      <c r="A149" s="8" t="s">
        <v>649</v>
      </c>
      <c r="B149" s="8" t="s">
        <v>343</v>
      </c>
      <c r="C149">
        <v>183</v>
      </c>
      <c r="E149">
        <v>3.05</v>
      </c>
      <c r="F149">
        <v>1</v>
      </c>
      <c r="G149">
        <f t="shared" si="27"/>
        <v>3.05</v>
      </c>
      <c r="H149">
        <f>getNumber(Task_Table1!F149)</f>
        <v>60</v>
      </c>
      <c r="I149">
        <f t="shared" si="28"/>
        <v>60</v>
      </c>
      <c r="J149">
        <f t="shared" si="29"/>
        <v>1</v>
      </c>
    </row>
    <row r="150" spans="1:10" x14ac:dyDescent="0.2">
      <c r="A150" s="8" t="s">
        <v>651</v>
      </c>
      <c r="B150" s="8" t="s">
        <v>346</v>
      </c>
      <c r="C150">
        <v>6883</v>
      </c>
      <c r="E150">
        <v>86.037499999999994</v>
      </c>
      <c r="F150">
        <v>1</v>
      </c>
      <c r="G150">
        <f t="shared" si="27"/>
        <v>86.037499999999994</v>
      </c>
      <c r="H150">
        <f>getNumber(Task_Table1!F150)</f>
        <v>80</v>
      </c>
      <c r="I150">
        <f t="shared" si="28"/>
        <v>80</v>
      </c>
      <c r="J150">
        <f t="shared" si="29"/>
        <v>1</v>
      </c>
    </row>
    <row r="151" spans="1:10" x14ac:dyDescent="0.2">
      <c r="A151" s="8" t="s">
        <v>654</v>
      </c>
      <c r="B151" s="8" t="s">
        <v>353</v>
      </c>
      <c r="C151">
        <v>3837</v>
      </c>
      <c r="E151">
        <v>47.962499999999999</v>
      </c>
      <c r="F151">
        <v>1</v>
      </c>
      <c r="G151">
        <f t="shared" si="27"/>
        <v>47.962499999999999</v>
      </c>
      <c r="H151">
        <f>getNumber(Task_Table1!F151)</f>
        <v>80</v>
      </c>
      <c r="I151">
        <f t="shared" si="28"/>
        <v>80</v>
      </c>
      <c r="J151">
        <f t="shared" si="29"/>
        <v>1</v>
      </c>
    </row>
    <row r="152" spans="1:10" x14ac:dyDescent="0.2">
      <c r="A152" s="8" t="s">
        <v>656</v>
      </c>
      <c r="B152" s="8" t="s">
        <v>357</v>
      </c>
      <c r="C152">
        <v>3200</v>
      </c>
      <c r="E152">
        <v>40</v>
      </c>
      <c r="F152">
        <v>1</v>
      </c>
      <c r="G152">
        <f t="shared" si="27"/>
        <v>40</v>
      </c>
      <c r="H152">
        <f>getNumber(Task_Table1!F152)</f>
        <v>80</v>
      </c>
      <c r="I152">
        <f t="shared" si="28"/>
        <v>80</v>
      </c>
      <c r="J152">
        <f t="shared" si="29"/>
        <v>1</v>
      </c>
    </row>
    <row r="153" spans="1:10" x14ac:dyDescent="0.2">
      <c r="A153" s="8" t="s">
        <v>658</v>
      </c>
      <c r="B153" s="8" t="s">
        <v>660</v>
      </c>
      <c r="C153">
        <v>160.76</v>
      </c>
      <c r="E153">
        <v>0.48715151515151511</v>
      </c>
      <c r="F153">
        <v>2</v>
      </c>
      <c r="G153">
        <f t="shared" si="27"/>
        <v>0.97430303030303023</v>
      </c>
      <c r="H153">
        <f>getNumber(Task_Table1!F153)</f>
        <v>165</v>
      </c>
      <c r="I153">
        <f t="shared" si="28"/>
        <v>165</v>
      </c>
      <c r="J153">
        <f t="shared" si="29"/>
        <v>2</v>
      </c>
    </row>
    <row r="154" spans="1:10" x14ac:dyDescent="0.2">
      <c r="A154" s="8" t="s">
        <v>662</v>
      </c>
      <c r="B154" s="8" t="s">
        <v>664</v>
      </c>
      <c r="G154" s="6"/>
      <c r="H154" s="6"/>
      <c r="I154" s="6"/>
      <c r="J154" s="6"/>
    </row>
    <row r="155" spans="1:10" x14ac:dyDescent="0.2">
      <c r="A155" s="8" t="s">
        <v>667</v>
      </c>
      <c r="B155" s="8" t="s">
        <v>669</v>
      </c>
      <c r="C155">
        <v>2345.36</v>
      </c>
      <c r="E155">
        <v>13.029777777777779</v>
      </c>
      <c r="F155">
        <v>6</v>
      </c>
      <c r="G155">
        <f>F155*E155</f>
        <v>78.178666666666672</v>
      </c>
      <c r="H155">
        <f>getNumber(Task_Table1!F155)</f>
        <v>30</v>
      </c>
      <c r="I155">
        <f>IF(ISERROR(C155/G155),0,ROUNDUP(C155/G155,0))</f>
        <v>30</v>
      </c>
      <c r="J155">
        <f>IF(ISERROR(C155/(E155*H155)),0,ROUNDUP(C155/(E155*H155),0))</f>
        <v>6</v>
      </c>
    </row>
    <row r="156" spans="1:10" x14ac:dyDescent="0.2">
      <c r="A156" s="8" t="s">
        <v>672</v>
      </c>
      <c r="B156" s="8" t="s">
        <v>674</v>
      </c>
      <c r="C156">
        <v>2002.05</v>
      </c>
      <c r="E156">
        <v>2.9659999999999997</v>
      </c>
      <c r="F156">
        <v>9</v>
      </c>
      <c r="G156">
        <f>F156*E156</f>
        <v>26.693999999999999</v>
      </c>
      <c r="H156">
        <f>getNumber(Task_Table1!F156)</f>
        <v>75</v>
      </c>
      <c r="I156">
        <f>IF(ISERROR(C156/G156),0,ROUNDUP(C156/G156,0))</f>
        <v>75</v>
      </c>
      <c r="J156">
        <f>IF(ISERROR(C156/(E156*H156)),0,ROUNDUP(C156/(E156*H156),0))</f>
        <v>9</v>
      </c>
    </row>
    <row r="157" spans="1:10" x14ac:dyDescent="0.2">
      <c r="A157" s="8" t="s">
        <v>675</v>
      </c>
      <c r="B157" s="8" t="s">
        <v>677</v>
      </c>
      <c r="G157" s="6"/>
      <c r="H157" s="6"/>
      <c r="I157" s="6"/>
      <c r="J157" s="6"/>
    </row>
    <row r="158" spans="1:10" x14ac:dyDescent="0.2">
      <c r="A158" s="8" t="s">
        <v>679</v>
      </c>
      <c r="B158" s="8" t="s">
        <v>231</v>
      </c>
      <c r="C158">
        <v>1528</v>
      </c>
      <c r="E158">
        <v>16.977777777777778</v>
      </c>
      <c r="F158">
        <v>3</v>
      </c>
      <c r="G158">
        <f t="shared" ref="G158:G163" si="30">F158*E158</f>
        <v>50.933333333333337</v>
      </c>
      <c r="H158">
        <f>getNumber(Task_Table1!F158)</f>
        <v>30</v>
      </c>
      <c r="I158">
        <f t="shared" ref="I158:I163" si="31">IF(ISERROR(C158/G158),0,ROUNDUP(C158/G158,0))</f>
        <v>30</v>
      </c>
      <c r="J158">
        <f t="shared" ref="J158:J163" si="32">IF(ISERROR(C158/(E158*H158)),0,ROUNDUP(C158/(E158*H158),0))</f>
        <v>3</v>
      </c>
    </row>
    <row r="159" spans="1:10" x14ac:dyDescent="0.2">
      <c r="A159" s="8" t="s">
        <v>682</v>
      </c>
      <c r="B159" s="8" t="s">
        <v>239</v>
      </c>
      <c r="C159">
        <v>2342</v>
      </c>
      <c r="E159">
        <v>13.011111111111111</v>
      </c>
      <c r="F159">
        <v>3</v>
      </c>
      <c r="G159">
        <f t="shared" si="30"/>
        <v>39.033333333333331</v>
      </c>
      <c r="H159">
        <f>getNumber(Task_Table1!F159)</f>
        <v>60</v>
      </c>
      <c r="I159">
        <f t="shared" si="31"/>
        <v>60</v>
      </c>
      <c r="J159">
        <f t="shared" si="32"/>
        <v>3</v>
      </c>
    </row>
    <row r="160" spans="1:10" x14ac:dyDescent="0.2">
      <c r="A160" s="8" t="s">
        <v>685</v>
      </c>
      <c r="B160" s="8" t="s">
        <v>248</v>
      </c>
      <c r="C160">
        <v>1112.75</v>
      </c>
      <c r="E160">
        <v>9.2729166666666671</v>
      </c>
      <c r="F160">
        <v>4</v>
      </c>
      <c r="G160">
        <f t="shared" si="30"/>
        <v>37.091666666666669</v>
      </c>
      <c r="H160">
        <f>getNumber(Task_Table1!F160)</f>
        <v>30</v>
      </c>
      <c r="I160">
        <f t="shared" si="31"/>
        <v>30</v>
      </c>
      <c r="J160">
        <f t="shared" si="32"/>
        <v>4</v>
      </c>
    </row>
    <row r="161" spans="1:10" x14ac:dyDescent="0.2">
      <c r="A161" s="8" t="s">
        <v>688</v>
      </c>
      <c r="B161" s="8" t="s">
        <v>253</v>
      </c>
      <c r="C161">
        <v>37.97</v>
      </c>
      <c r="E161">
        <v>0.10547222222222222</v>
      </c>
      <c r="F161">
        <v>12</v>
      </c>
      <c r="G161">
        <f t="shared" si="30"/>
        <v>1.2656666666666667</v>
      </c>
      <c r="H161">
        <f>getNumber(Task_Table1!F161)</f>
        <v>30</v>
      </c>
      <c r="I161">
        <f t="shared" si="31"/>
        <v>30</v>
      </c>
      <c r="J161">
        <f t="shared" si="32"/>
        <v>12</v>
      </c>
    </row>
    <row r="162" spans="1:10" x14ac:dyDescent="0.2">
      <c r="A162" s="8" t="s">
        <v>690</v>
      </c>
      <c r="B162" s="8" t="s">
        <v>258</v>
      </c>
      <c r="C162">
        <v>334.85</v>
      </c>
      <c r="E162">
        <v>5.5808333333333335</v>
      </c>
      <c r="F162">
        <v>2</v>
      </c>
      <c r="G162">
        <f t="shared" si="30"/>
        <v>11.161666666666667</v>
      </c>
      <c r="H162">
        <f>getNumber(Task_Table1!F162)</f>
        <v>30</v>
      </c>
      <c r="I162">
        <f t="shared" si="31"/>
        <v>30</v>
      </c>
      <c r="J162">
        <f t="shared" si="32"/>
        <v>2</v>
      </c>
    </row>
    <row r="163" spans="1:10" x14ac:dyDescent="0.2">
      <c r="A163" s="8" t="s">
        <v>692</v>
      </c>
      <c r="B163" s="8" t="s">
        <v>261</v>
      </c>
      <c r="C163">
        <v>1753</v>
      </c>
      <c r="E163">
        <v>29.216666666666665</v>
      </c>
      <c r="F163">
        <v>2</v>
      </c>
      <c r="G163">
        <f t="shared" si="30"/>
        <v>58.43333333333333</v>
      </c>
      <c r="H163">
        <f>getNumber(Task_Table1!F163)</f>
        <v>30</v>
      </c>
      <c r="I163">
        <f t="shared" si="31"/>
        <v>30</v>
      </c>
      <c r="J163">
        <f t="shared" si="32"/>
        <v>2</v>
      </c>
    </row>
    <row r="164" spans="1:10" x14ac:dyDescent="0.2">
      <c r="A164" s="8" t="s">
        <v>694</v>
      </c>
      <c r="B164" s="8" t="s">
        <v>264</v>
      </c>
      <c r="G164" s="6"/>
      <c r="H164" s="6"/>
      <c r="I164" s="6"/>
      <c r="J164" s="6"/>
    </row>
    <row r="165" spans="1:10" x14ac:dyDescent="0.2">
      <c r="A165" s="8" t="s">
        <v>696</v>
      </c>
      <c r="B165" s="8" t="s">
        <v>1071</v>
      </c>
      <c r="C165">
        <v>89.67</v>
      </c>
      <c r="E165">
        <v>1.9926666666666668</v>
      </c>
      <c r="F165">
        <v>3</v>
      </c>
      <c r="G165">
        <f>F165*E165</f>
        <v>5.9780000000000006</v>
      </c>
      <c r="H165">
        <f>getNumber(Task_Table1!F165)</f>
        <v>15</v>
      </c>
      <c r="I165">
        <f>IF(ISERROR(C165/G165),0,ROUNDUP(C165/G165,0))</f>
        <v>15</v>
      </c>
      <c r="J165">
        <f>IF(ISERROR(C165/(E165*H165)),0,ROUNDUP(C165/(E165*H165),0))</f>
        <v>3</v>
      </c>
    </row>
    <row r="166" spans="1:10" x14ac:dyDescent="0.2">
      <c r="A166" s="8" t="s">
        <v>698</v>
      </c>
      <c r="B166" s="8" t="s">
        <v>700</v>
      </c>
      <c r="G166" s="6"/>
      <c r="H166" s="6"/>
      <c r="I166" s="6"/>
      <c r="J166" s="6"/>
    </row>
    <row r="167" spans="1:10" x14ac:dyDescent="0.2">
      <c r="A167" s="8" t="s">
        <v>704</v>
      </c>
      <c r="B167" s="8" t="s">
        <v>706</v>
      </c>
      <c r="G167" s="6"/>
      <c r="H167" s="6"/>
      <c r="I167" s="6"/>
      <c r="J167" s="6"/>
    </row>
    <row r="168" spans="1:10" x14ac:dyDescent="0.2">
      <c r="A168" s="8" t="s">
        <v>707</v>
      </c>
      <c r="B168" s="8" t="s">
        <v>1071</v>
      </c>
      <c r="C168">
        <v>137.71</v>
      </c>
      <c r="E168">
        <v>1.0929365079365081</v>
      </c>
      <c r="F168">
        <v>1</v>
      </c>
      <c r="G168">
        <f>F168*E168</f>
        <v>1.0929365079365081</v>
      </c>
      <c r="H168">
        <f>getNumber(Task_Table1!F168)</f>
        <v>126</v>
      </c>
      <c r="I168">
        <f>IF(ISERROR(C168/G168),0,ROUNDUP(C168/G168,0))</f>
        <v>126</v>
      </c>
      <c r="J168">
        <f>IF(ISERROR(C168/(E168*H168)),0,ROUNDUP(C168/(E168*H168),0))</f>
        <v>1</v>
      </c>
    </row>
    <row r="169" spans="1:10" x14ac:dyDescent="0.2">
      <c r="A169" s="8" t="s">
        <v>709</v>
      </c>
      <c r="B169" s="8" t="s">
        <v>530</v>
      </c>
      <c r="G169" s="6"/>
      <c r="H169" s="6"/>
      <c r="I169" s="6"/>
      <c r="J169" s="6"/>
    </row>
    <row r="170" spans="1:10" x14ac:dyDescent="0.2">
      <c r="A170" s="8" t="s">
        <v>712</v>
      </c>
      <c r="B170" s="8" t="s">
        <v>1071</v>
      </c>
      <c r="C170">
        <v>305.18</v>
      </c>
      <c r="E170">
        <v>2.4220634920634923</v>
      </c>
      <c r="F170">
        <v>1</v>
      </c>
      <c r="G170">
        <f>F170*E170</f>
        <v>2.4220634920634923</v>
      </c>
      <c r="H170">
        <f>getNumber(Task_Table1!F170)</f>
        <v>126</v>
      </c>
      <c r="I170">
        <f>IF(ISERROR(C170/G170),0,ROUNDUP(C170/G170,0))</f>
        <v>126</v>
      </c>
      <c r="J170">
        <f>IF(ISERROR(C170/(E170*H170)),0,ROUNDUP(C170/(E170*H170),0))</f>
        <v>1</v>
      </c>
    </row>
    <row r="171" spans="1:10" x14ac:dyDescent="0.2">
      <c r="A171" s="8" t="s">
        <v>714</v>
      </c>
      <c r="B171" s="8" t="s">
        <v>716</v>
      </c>
      <c r="C171">
        <v>89.92</v>
      </c>
      <c r="E171">
        <v>1.1989333333333334</v>
      </c>
      <c r="F171">
        <v>1</v>
      </c>
      <c r="G171">
        <f>F171*E171</f>
        <v>1.1989333333333334</v>
      </c>
      <c r="H171">
        <f>getNumber(Task_Table1!F171)</f>
        <v>75</v>
      </c>
      <c r="I171">
        <f>IF(ISERROR(C171/G171),0,ROUNDUP(C171/G171,0))</f>
        <v>75</v>
      </c>
      <c r="J171">
        <f>IF(ISERROR(C171/(E171*H171)),0,ROUNDUP(C171/(E171*H171),0))</f>
        <v>1</v>
      </c>
    </row>
    <row r="172" spans="1:10" x14ac:dyDescent="0.2">
      <c r="A172" s="8" t="s">
        <v>719</v>
      </c>
      <c r="B172" s="8" t="s">
        <v>721</v>
      </c>
      <c r="G172" s="6"/>
      <c r="H172" s="6"/>
      <c r="I172" s="6"/>
      <c r="J172" s="6"/>
    </row>
    <row r="173" spans="1:10" x14ac:dyDescent="0.2">
      <c r="A173" s="8" t="s">
        <v>723</v>
      </c>
      <c r="B173" s="8" t="s">
        <v>725</v>
      </c>
      <c r="C173">
        <v>249</v>
      </c>
      <c r="E173">
        <v>2.0750000000000002</v>
      </c>
      <c r="F173">
        <v>2</v>
      </c>
      <c r="G173">
        <f t="shared" ref="G173:G178" si="33">F173*E173</f>
        <v>4.1500000000000004</v>
      </c>
      <c r="H173">
        <f>getNumber(Task_Table1!F173)</f>
        <v>60</v>
      </c>
      <c r="I173">
        <f t="shared" ref="I173:I178" si="34">IF(ISERROR(C173/G173),0,ROUNDUP(C173/G173,0))</f>
        <v>60</v>
      </c>
      <c r="J173">
        <f t="shared" ref="J173:J178" si="35">IF(ISERROR(C173/(E173*H173)),0,ROUNDUP(C173/(E173*H173),0))</f>
        <v>2</v>
      </c>
    </row>
    <row r="174" spans="1:10" x14ac:dyDescent="0.2">
      <c r="A174" s="8" t="s">
        <v>727</v>
      </c>
      <c r="B174" s="8" t="s">
        <v>729</v>
      </c>
      <c r="C174">
        <v>123</v>
      </c>
      <c r="E174">
        <v>2.0499999999999998</v>
      </c>
      <c r="F174">
        <v>1</v>
      </c>
      <c r="G174">
        <f t="shared" si="33"/>
        <v>2.0499999999999998</v>
      </c>
      <c r="H174">
        <f>getNumber(Task_Table1!F174)</f>
        <v>60</v>
      </c>
      <c r="I174">
        <f t="shared" si="34"/>
        <v>60</v>
      </c>
      <c r="J174">
        <f t="shared" si="35"/>
        <v>1</v>
      </c>
    </row>
    <row r="175" spans="1:10" x14ac:dyDescent="0.2">
      <c r="A175" s="8" t="s">
        <v>730</v>
      </c>
      <c r="B175" s="8" t="s">
        <v>346</v>
      </c>
      <c r="C175">
        <v>4400</v>
      </c>
      <c r="E175">
        <v>55</v>
      </c>
      <c r="F175">
        <v>1</v>
      </c>
      <c r="G175">
        <f t="shared" si="33"/>
        <v>55</v>
      </c>
      <c r="H175">
        <f>getNumber(Task_Table1!F175)</f>
        <v>80</v>
      </c>
      <c r="I175">
        <f t="shared" si="34"/>
        <v>80</v>
      </c>
      <c r="J175">
        <f t="shared" si="35"/>
        <v>1</v>
      </c>
    </row>
    <row r="176" spans="1:10" x14ac:dyDescent="0.2">
      <c r="A176" s="8" t="s">
        <v>735</v>
      </c>
      <c r="B176" s="8" t="s">
        <v>353</v>
      </c>
      <c r="C176">
        <v>304</v>
      </c>
      <c r="E176">
        <v>3.8</v>
      </c>
      <c r="F176">
        <v>1</v>
      </c>
      <c r="G176">
        <f t="shared" si="33"/>
        <v>3.8</v>
      </c>
      <c r="H176">
        <f>getNumber(Task_Table1!F176)</f>
        <v>80</v>
      </c>
      <c r="I176">
        <f t="shared" si="34"/>
        <v>80</v>
      </c>
      <c r="J176">
        <f t="shared" si="35"/>
        <v>1</v>
      </c>
    </row>
    <row r="177" spans="1:10" x14ac:dyDescent="0.2">
      <c r="A177" s="8" t="s">
        <v>737</v>
      </c>
      <c r="B177" s="8" t="s">
        <v>357</v>
      </c>
      <c r="C177">
        <v>2000</v>
      </c>
      <c r="E177">
        <v>25</v>
      </c>
      <c r="F177">
        <v>1</v>
      </c>
      <c r="G177">
        <f t="shared" si="33"/>
        <v>25</v>
      </c>
      <c r="H177">
        <f>getNumber(Task_Table1!F177)</f>
        <v>80</v>
      </c>
      <c r="I177">
        <f t="shared" si="34"/>
        <v>80</v>
      </c>
      <c r="J177">
        <f t="shared" si="35"/>
        <v>1</v>
      </c>
    </row>
    <row r="178" spans="1:10" x14ac:dyDescent="0.2">
      <c r="A178" s="8" t="s">
        <v>739</v>
      </c>
      <c r="B178" s="8" t="s">
        <v>741</v>
      </c>
      <c r="C178">
        <v>328</v>
      </c>
      <c r="E178">
        <v>0.9939393939393939</v>
      </c>
      <c r="F178">
        <v>2</v>
      </c>
      <c r="G178">
        <f t="shared" si="33"/>
        <v>1.9878787878787878</v>
      </c>
      <c r="H178">
        <f>getNumber(Task_Table1!F178)</f>
        <v>165</v>
      </c>
      <c r="I178">
        <f t="shared" si="34"/>
        <v>165</v>
      </c>
      <c r="J178">
        <f t="shared" si="35"/>
        <v>2</v>
      </c>
    </row>
    <row r="179" spans="1:10" x14ac:dyDescent="0.2">
      <c r="A179" s="8" t="s">
        <v>742</v>
      </c>
      <c r="B179" s="8" t="s">
        <v>744</v>
      </c>
      <c r="G179" s="6"/>
      <c r="H179" s="6"/>
      <c r="I179" s="6"/>
      <c r="J179" s="6"/>
    </row>
    <row r="180" spans="1:10" x14ac:dyDescent="0.2">
      <c r="A180" s="8" t="s">
        <v>748</v>
      </c>
      <c r="B180" s="8" t="s">
        <v>750</v>
      </c>
      <c r="G180" s="6"/>
      <c r="H180" s="6"/>
      <c r="I180" s="6"/>
      <c r="J180" s="6"/>
    </row>
    <row r="181" spans="1:10" x14ac:dyDescent="0.2">
      <c r="A181" s="8" t="s">
        <v>751</v>
      </c>
      <c r="B181" s="8" t="s">
        <v>753</v>
      </c>
      <c r="C181">
        <f>42414.9/5</f>
        <v>8482.98</v>
      </c>
      <c r="E181">
        <v>26.5093125</v>
      </c>
      <c r="F181">
        <v>2</v>
      </c>
      <c r="G181">
        <f>F181*E181</f>
        <v>53.018625</v>
      </c>
      <c r="H181">
        <f>getNumber(Task_Table1!F181)</f>
        <v>160</v>
      </c>
      <c r="I181">
        <f>IF(ISERROR(C181/G181),0,ROUNDUP(C181/G181,0))</f>
        <v>160</v>
      </c>
      <c r="J181">
        <f>IF(ISERROR(C181/(E181*H181)),0,ROUNDUP(C181/(E181*H181),0))</f>
        <v>2</v>
      </c>
    </row>
    <row r="182" spans="1:10" x14ac:dyDescent="0.2">
      <c r="A182" s="8" t="s">
        <v>755</v>
      </c>
      <c r="B182" s="8" t="s">
        <v>760</v>
      </c>
      <c r="C182">
        <f>42414.9/5</f>
        <v>8482.98</v>
      </c>
      <c r="E182">
        <v>24.237085714285712</v>
      </c>
      <c r="F182">
        <v>2</v>
      </c>
      <c r="G182">
        <f>F182*E182</f>
        <v>48.474171428571424</v>
      </c>
      <c r="H182">
        <f>getNumber(Task_Table1!F182)</f>
        <v>175</v>
      </c>
      <c r="I182">
        <f>IF(ISERROR(C182/G182),0,ROUNDUP(C182/G182,0))</f>
        <v>175</v>
      </c>
      <c r="J182">
        <f>IF(ISERROR(C182/(E182*H182)),0,ROUNDUP(C182/(E182*H182),0))</f>
        <v>2</v>
      </c>
    </row>
    <row r="183" spans="1:10" x14ac:dyDescent="0.2">
      <c r="A183" s="8" t="s">
        <v>762</v>
      </c>
      <c r="B183" s="8" t="s">
        <v>769</v>
      </c>
      <c r="C183">
        <f>42414.9/5</f>
        <v>8482.98</v>
      </c>
      <c r="E183">
        <v>24.237085714285712</v>
      </c>
      <c r="F183">
        <v>2</v>
      </c>
      <c r="G183">
        <f>F183*E183</f>
        <v>48.474171428571424</v>
      </c>
      <c r="H183">
        <f>getNumber(Task_Table1!F183)</f>
        <v>175</v>
      </c>
      <c r="I183">
        <f>IF(ISERROR(C183/G183),0,ROUNDUP(C183/G183,0))</f>
        <v>175</v>
      </c>
      <c r="J183">
        <f>IF(ISERROR(C183/(E183*H183)),0,ROUNDUP(C183/(E183*H183),0))</f>
        <v>2</v>
      </c>
    </row>
    <row r="184" spans="1:10" x14ac:dyDescent="0.2">
      <c r="A184" s="8" t="s">
        <v>777</v>
      </c>
      <c r="B184" s="8" t="s">
        <v>779</v>
      </c>
      <c r="C184">
        <f>42414.9/5</f>
        <v>8482.98</v>
      </c>
      <c r="E184">
        <v>26.5093125</v>
      </c>
      <c r="F184">
        <v>2</v>
      </c>
      <c r="G184">
        <f>F184*E184</f>
        <v>53.018625</v>
      </c>
      <c r="H184">
        <f>getNumber(Task_Table1!F184)</f>
        <v>160</v>
      </c>
      <c r="I184">
        <f>IF(ISERROR(C184/G184),0,ROUNDUP(C184/G184,0))</f>
        <v>160</v>
      </c>
      <c r="J184">
        <f>IF(ISERROR(C184/(E184*H184)),0,ROUNDUP(C184/(E184*H184),0))</f>
        <v>2</v>
      </c>
    </row>
    <row r="185" spans="1:10" x14ac:dyDescent="0.2">
      <c r="A185" s="8" t="s">
        <v>783</v>
      </c>
      <c r="B185" s="8" t="s">
        <v>785</v>
      </c>
      <c r="C185">
        <f>42414.9/5</f>
        <v>8482.98</v>
      </c>
      <c r="E185">
        <v>26.5093125</v>
      </c>
      <c r="F185">
        <v>2</v>
      </c>
      <c r="G185">
        <f>F185*E185</f>
        <v>53.018625</v>
      </c>
      <c r="H185">
        <f>getNumber(Task_Table1!F185)</f>
        <v>160</v>
      </c>
      <c r="I185">
        <f>IF(ISERROR(C185/G185),0,ROUNDUP(C185/G185,0))</f>
        <v>160</v>
      </c>
      <c r="J185">
        <f>IF(ISERROR(C185/(E185*H185)),0,ROUNDUP(C185/(E185*H185),0))</f>
        <v>2</v>
      </c>
    </row>
    <row r="186" spans="1:10" x14ac:dyDescent="0.2">
      <c r="A186" s="8" t="s">
        <v>786</v>
      </c>
      <c r="B186" s="8" t="s">
        <v>788</v>
      </c>
      <c r="G186" s="6"/>
      <c r="H186" s="6"/>
      <c r="I186" s="6"/>
      <c r="J186" s="6"/>
    </row>
    <row r="187" spans="1:10" x14ac:dyDescent="0.2">
      <c r="A187" s="8" t="s">
        <v>789</v>
      </c>
      <c r="B187" s="8" t="s">
        <v>753</v>
      </c>
      <c r="C187">
        <f>37363.7/5</f>
        <v>7472.74</v>
      </c>
      <c r="E187">
        <v>46.704625</v>
      </c>
      <c r="F187">
        <v>1</v>
      </c>
      <c r="G187">
        <f>F187*E187</f>
        <v>46.704625</v>
      </c>
      <c r="H187">
        <f>getNumber(Task_Table1!F187)</f>
        <v>160</v>
      </c>
      <c r="I187">
        <f>IF(ISERROR(C187/G187),0,ROUNDUP(C187/G187,0))</f>
        <v>160</v>
      </c>
      <c r="J187">
        <f>IF(ISERROR(C187/(E187*H187)),0,ROUNDUP(C187/(E187*H187),0))</f>
        <v>1</v>
      </c>
    </row>
    <row r="188" spans="1:10" x14ac:dyDescent="0.2">
      <c r="A188" s="8" t="s">
        <v>791</v>
      </c>
      <c r="B188" s="8" t="s">
        <v>760</v>
      </c>
      <c r="C188">
        <f>37363.7/5</f>
        <v>7472.74</v>
      </c>
      <c r="E188">
        <v>42.701371428571427</v>
      </c>
      <c r="F188">
        <v>1</v>
      </c>
      <c r="G188">
        <f>F188*E188</f>
        <v>42.701371428571427</v>
      </c>
      <c r="H188">
        <f>getNumber(Task_Table1!F188)</f>
        <v>175</v>
      </c>
      <c r="I188">
        <f>IF(ISERROR(C188/G188),0,ROUNDUP(C188/G188,0))</f>
        <v>175</v>
      </c>
      <c r="J188">
        <f>IF(ISERROR(C188/(E188*H188)),0,ROUNDUP(C188/(E188*H188),0))</f>
        <v>1</v>
      </c>
    </row>
    <row r="189" spans="1:10" x14ac:dyDescent="0.2">
      <c r="A189" s="8" t="s">
        <v>793</v>
      </c>
      <c r="B189" s="8" t="s">
        <v>769</v>
      </c>
      <c r="C189">
        <f>37363.7/5</f>
        <v>7472.74</v>
      </c>
      <c r="E189">
        <v>42.701371428571427</v>
      </c>
      <c r="F189">
        <v>1</v>
      </c>
      <c r="G189">
        <f>F189*E189</f>
        <v>42.701371428571427</v>
      </c>
      <c r="H189">
        <f>getNumber(Task_Table1!F189)</f>
        <v>175</v>
      </c>
      <c r="I189">
        <f>IF(ISERROR(C189/G189),0,ROUNDUP(C189/G189,0))</f>
        <v>175</v>
      </c>
      <c r="J189">
        <f>IF(ISERROR(C189/(E189*H189)),0,ROUNDUP(C189/(E189*H189),0))</f>
        <v>1</v>
      </c>
    </row>
    <row r="190" spans="1:10" x14ac:dyDescent="0.2">
      <c r="A190" s="8" t="s">
        <v>796</v>
      </c>
      <c r="B190" s="8" t="s">
        <v>779</v>
      </c>
      <c r="C190">
        <f>37363.7/5</f>
        <v>7472.74</v>
      </c>
      <c r="E190">
        <v>46.704625</v>
      </c>
      <c r="F190">
        <v>1</v>
      </c>
      <c r="G190">
        <f>F190*E190</f>
        <v>46.704625</v>
      </c>
      <c r="H190">
        <f>getNumber(Task_Table1!F190)</f>
        <v>160</v>
      </c>
      <c r="I190">
        <f>IF(ISERROR(C190/G190),0,ROUNDUP(C190/G190,0))</f>
        <v>160</v>
      </c>
      <c r="J190">
        <f>IF(ISERROR(C190/(E190*H190)),0,ROUNDUP(C190/(E190*H190),0))</f>
        <v>1</v>
      </c>
    </row>
    <row r="191" spans="1:10" x14ac:dyDescent="0.2">
      <c r="A191" s="8" t="s">
        <v>798</v>
      </c>
      <c r="B191" s="8" t="s">
        <v>785</v>
      </c>
      <c r="C191">
        <f>37363.7/5</f>
        <v>7472.74</v>
      </c>
      <c r="E191">
        <v>46.704625</v>
      </c>
      <c r="F191">
        <v>1</v>
      </c>
      <c r="G191">
        <f>F191*E191</f>
        <v>46.704625</v>
      </c>
      <c r="H191">
        <f>getNumber(Task_Table1!F191)</f>
        <v>160</v>
      </c>
      <c r="I191">
        <f>IF(ISERROR(C191/G191),0,ROUNDUP(C191/G191,0))</f>
        <v>160</v>
      </c>
      <c r="J191">
        <f>IF(ISERROR(C191/(E191*H191)),0,ROUNDUP(C191/(E191*H191),0))</f>
        <v>1</v>
      </c>
    </row>
    <row r="192" spans="1:10" x14ac:dyDescent="0.2">
      <c r="A192" s="8" t="s">
        <v>800</v>
      </c>
      <c r="B192" s="8" t="s">
        <v>802</v>
      </c>
      <c r="G192" s="6"/>
      <c r="H192" s="6"/>
      <c r="I192" s="6"/>
      <c r="J192" s="6"/>
    </row>
    <row r="193" spans="1:10" x14ac:dyDescent="0.2">
      <c r="A193" s="8" t="s">
        <v>804</v>
      </c>
      <c r="B193" s="8" t="s">
        <v>806</v>
      </c>
      <c r="G193" s="6"/>
      <c r="H193" s="6"/>
      <c r="I193" s="6"/>
      <c r="J193" s="6"/>
    </row>
    <row r="194" spans="1:10" x14ac:dyDescent="0.2">
      <c r="A194" s="8" t="s">
        <v>807</v>
      </c>
      <c r="B194" s="8" t="s">
        <v>809</v>
      </c>
      <c r="C194">
        <v>6187</v>
      </c>
      <c r="E194">
        <v>37.4969696969697</v>
      </c>
      <c r="F194">
        <v>1</v>
      </c>
      <c r="G194">
        <f t="shared" ref="G194:G201" si="36">F194*E194</f>
        <v>37.4969696969697</v>
      </c>
      <c r="H194">
        <f>getNumber(Task_Table1!F194)</f>
        <v>165</v>
      </c>
      <c r="I194">
        <f t="shared" ref="I194:I201" si="37">IF(ISERROR(C194/G194),0,ROUNDUP(C194/G194,0))</f>
        <v>165</v>
      </c>
      <c r="J194">
        <f t="shared" ref="J194:J201" si="38">IF(ISERROR(C194/(E194*H194)),0,ROUNDUP(C194/(E194*H194),0))</f>
        <v>1</v>
      </c>
    </row>
    <row r="195" spans="1:10" x14ac:dyDescent="0.2">
      <c r="A195" s="8" t="s">
        <v>810</v>
      </c>
      <c r="B195" s="8" t="s">
        <v>812</v>
      </c>
      <c r="C195">
        <v>6187</v>
      </c>
      <c r="E195">
        <v>37.4969696969697</v>
      </c>
      <c r="F195">
        <v>1</v>
      </c>
      <c r="G195">
        <f t="shared" si="36"/>
        <v>37.4969696969697</v>
      </c>
      <c r="H195">
        <f>getNumber(Task_Table1!F195)</f>
        <v>165</v>
      </c>
      <c r="I195">
        <f t="shared" si="37"/>
        <v>165</v>
      </c>
      <c r="J195">
        <f t="shared" si="38"/>
        <v>1</v>
      </c>
    </row>
    <row r="196" spans="1:10" x14ac:dyDescent="0.2">
      <c r="A196" s="8" t="s">
        <v>813</v>
      </c>
      <c r="B196" s="8" t="s">
        <v>815</v>
      </c>
      <c r="C196">
        <v>6187</v>
      </c>
      <c r="E196">
        <v>37.4969696969697</v>
      </c>
      <c r="F196">
        <v>1</v>
      </c>
      <c r="G196">
        <f t="shared" si="36"/>
        <v>37.4969696969697</v>
      </c>
      <c r="H196">
        <f>getNumber(Task_Table1!F196)</f>
        <v>165</v>
      </c>
      <c r="I196">
        <f t="shared" si="37"/>
        <v>165</v>
      </c>
      <c r="J196">
        <f t="shared" si="38"/>
        <v>1</v>
      </c>
    </row>
    <row r="197" spans="1:10" x14ac:dyDescent="0.2">
      <c r="A197" s="8" t="s">
        <v>816</v>
      </c>
      <c r="B197" s="8" t="s">
        <v>818</v>
      </c>
      <c r="C197">
        <v>923</v>
      </c>
      <c r="E197">
        <v>5.5939393939393938</v>
      </c>
      <c r="F197">
        <v>1</v>
      </c>
      <c r="G197">
        <f t="shared" si="36"/>
        <v>5.5939393939393938</v>
      </c>
      <c r="H197">
        <f>getNumber(Task_Table1!F197)</f>
        <v>165</v>
      </c>
      <c r="I197">
        <f t="shared" si="37"/>
        <v>165</v>
      </c>
      <c r="J197">
        <f t="shared" si="38"/>
        <v>1</v>
      </c>
    </row>
    <row r="198" spans="1:10" x14ac:dyDescent="0.2">
      <c r="A198" s="8" t="s">
        <v>819</v>
      </c>
      <c r="B198" s="8" t="s">
        <v>821</v>
      </c>
      <c r="C198">
        <v>923</v>
      </c>
      <c r="E198">
        <v>5.5939393939393938</v>
      </c>
      <c r="F198">
        <v>1</v>
      </c>
      <c r="G198">
        <f t="shared" si="36"/>
        <v>5.5939393939393938</v>
      </c>
      <c r="H198">
        <f>getNumber(Task_Table1!F198)</f>
        <v>165</v>
      </c>
      <c r="I198">
        <f t="shared" si="37"/>
        <v>165</v>
      </c>
      <c r="J198">
        <f t="shared" si="38"/>
        <v>1</v>
      </c>
    </row>
    <row r="199" spans="1:10" x14ac:dyDescent="0.2">
      <c r="A199" s="8" t="s">
        <v>822</v>
      </c>
      <c r="B199" s="8" t="s">
        <v>824</v>
      </c>
      <c r="C199">
        <v>2180</v>
      </c>
      <c r="E199">
        <v>24.222222222222221</v>
      </c>
      <c r="F199">
        <v>1</v>
      </c>
      <c r="G199">
        <f t="shared" si="36"/>
        <v>24.222222222222221</v>
      </c>
      <c r="H199">
        <f>getNumber(Task_Table1!F199)</f>
        <v>90</v>
      </c>
      <c r="I199">
        <f t="shared" si="37"/>
        <v>90</v>
      </c>
      <c r="J199">
        <f t="shared" si="38"/>
        <v>1</v>
      </c>
    </row>
    <row r="200" spans="1:10" x14ac:dyDescent="0.2">
      <c r="A200" s="8" t="s">
        <v>828</v>
      </c>
      <c r="B200" s="8" t="s">
        <v>830</v>
      </c>
      <c r="C200">
        <v>2180</v>
      </c>
      <c r="E200">
        <v>24.222222222222221</v>
      </c>
      <c r="F200">
        <v>1</v>
      </c>
      <c r="G200">
        <f t="shared" si="36"/>
        <v>24.222222222222221</v>
      </c>
      <c r="H200">
        <f>getNumber(Task_Table1!F200)</f>
        <v>90</v>
      </c>
      <c r="I200">
        <f t="shared" si="37"/>
        <v>90</v>
      </c>
      <c r="J200">
        <f t="shared" si="38"/>
        <v>1</v>
      </c>
    </row>
    <row r="201" spans="1:10" x14ac:dyDescent="0.2">
      <c r="A201" s="8" t="s">
        <v>831</v>
      </c>
      <c r="B201" s="8" t="s">
        <v>833</v>
      </c>
      <c r="C201">
        <v>4184</v>
      </c>
      <c r="E201">
        <v>46.488888888888887</v>
      </c>
      <c r="F201">
        <v>1</v>
      </c>
      <c r="G201">
        <f t="shared" si="36"/>
        <v>46.488888888888887</v>
      </c>
      <c r="H201">
        <f>getNumber(Task_Table1!F201)</f>
        <v>90</v>
      </c>
      <c r="I201">
        <f t="shared" si="37"/>
        <v>90</v>
      </c>
      <c r="J201">
        <f t="shared" si="38"/>
        <v>1</v>
      </c>
    </row>
    <row r="202" spans="1:10" x14ac:dyDescent="0.2">
      <c r="A202" s="8" t="s">
        <v>834</v>
      </c>
      <c r="B202" s="8" t="s">
        <v>836</v>
      </c>
      <c r="G202" s="6"/>
      <c r="H202" s="6"/>
      <c r="I202" s="6"/>
      <c r="J202" s="6"/>
    </row>
    <row r="203" spans="1:10" x14ac:dyDescent="0.2">
      <c r="A203" s="8" t="s">
        <v>837</v>
      </c>
      <c r="B203" s="8" t="s">
        <v>839</v>
      </c>
      <c r="C203">
        <v>238</v>
      </c>
      <c r="E203">
        <v>1.4424242424242424</v>
      </c>
      <c r="F203">
        <v>1</v>
      </c>
      <c r="G203">
        <f>F203*E203</f>
        <v>1.4424242424242424</v>
      </c>
      <c r="H203">
        <f>getNumber(Task_Table1!F203)</f>
        <v>165</v>
      </c>
      <c r="I203">
        <f>IF(ISERROR(C203/G203),0,ROUNDUP(C203/G203,0))</f>
        <v>165</v>
      </c>
      <c r="J203">
        <f>IF(ISERROR(C203/(E203*H203)),0,ROUNDUP(C203/(E203*H203),0))</f>
        <v>1</v>
      </c>
    </row>
    <row r="204" spans="1:10" x14ac:dyDescent="0.2">
      <c r="A204" s="8" t="s">
        <v>840</v>
      </c>
      <c r="B204" s="8" t="s">
        <v>842</v>
      </c>
      <c r="G204" s="6"/>
      <c r="H204" s="6"/>
      <c r="I204" s="6"/>
      <c r="J204" s="6"/>
    </row>
    <row r="205" spans="1:10" x14ac:dyDescent="0.2">
      <c r="A205" s="8" t="s">
        <v>843</v>
      </c>
      <c r="B205" s="8" t="s">
        <v>845</v>
      </c>
      <c r="C205">
        <v>1</v>
      </c>
      <c r="E205">
        <v>6.0606060606060606E-3</v>
      </c>
      <c r="F205">
        <v>1</v>
      </c>
      <c r="G205">
        <f>F205*E205</f>
        <v>6.0606060606060606E-3</v>
      </c>
      <c r="H205">
        <f>getNumber(Task_Table1!F205)</f>
        <v>165</v>
      </c>
      <c r="I205">
        <f>IF(ISERROR(C205/G205),0,ROUNDUP(C205/G205,0))</f>
        <v>165</v>
      </c>
      <c r="J205">
        <f>IF(ISERROR(C205/(E205*H205)),0,ROUNDUP(C205/(E205*H205),0))</f>
        <v>1</v>
      </c>
    </row>
    <row r="206" spans="1:10" x14ac:dyDescent="0.2">
      <c r="A206" s="8" t="s">
        <v>846</v>
      </c>
      <c r="B206" s="8" t="s">
        <v>848</v>
      </c>
      <c r="C206">
        <v>2620.4299999999998</v>
      </c>
      <c r="E206">
        <v>3.9703484848484845</v>
      </c>
      <c r="F206">
        <v>4</v>
      </c>
      <c r="G206">
        <f>F206*E206</f>
        <v>15.881393939393938</v>
      </c>
      <c r="H206">
        <f>getNumber(Task_Table1!F206)</f>
        <v>165</v>
      </c>
      <c r="I206">
        <f>IF(ISERROR(C206/G206),0,ROUNDUP(C206/G206,0))</f>
        <v>165</v>
      </c>
      <c r="J206">
        <f>IF(ISERROR(C206/(E206*H206)),0,ROUNDUP(C206/(E206*H206),0))</f>
        <v>4</v>
      </c>
    </row>
    <row r="207" spans="1:10" x14ac:dyDescent="0.2">
      <c r="A207" s="8" t="s">
        <v>849</v>
      </c>
      <c r="B207" s="8" t="s">
        <v>851</v>
      </c>
      <c r="C207">
        <v>1638.16</v>
      </c>
      <c r="E207">
        <v>9.9282424242424252</v>
      </c>
      <c r="F207">
        <v>1</v>
      </c>
      <c r="G207">
        <f>F207*E207</f>
        <v>9.9282424242424252</v>
      </c>
      <c r="H207">
        <f>getNumber(Task_Table1!F207)</f>
        <v>165</v>
      </c>
      <c r="I207">
        <f>IF(ISERROR(C207/G207),0,ROUNDUP(C207/G207,0))</f>
        <v>165</v>
      </c>
      <c r="J207">
        <f>IF(ISERROR(C207/(E207*H207)),0,ROUNDUP(C207/(E207*H207),0))</f>
        <v>1</v>
      </c>
    </row>
    <row r="208" spans="1:10" x14ac:dyDescent="0.2">
      <c r="A208" s="8" t="s">
        <v>852</v>
      </c>
      <c r="B208" s="8" t="s">
        <v>854</v>
      </c>
      <c r="C208">
        <v>72.55</v>
      </c>
      <c r="E208">
        <v>0.4396969696969697</v>
      </c>
      <c r="F208">
        <v>1</v>
      </c>
      <c r="G208">
        <f>F208*E208</f>
        <v>0.4396969696969697</v>
      </c>
      <c r="H208">
        <f>getNumber(Task_Table1!F208)</f>
        <v>165</v>
      </c>
      <c r="I208">
        <f>IF(ISERROR(C208/G208),0,ROUNDUP(C208/G208,0))</f>
        <v>165</v>
      </c>
      <c r="J208">
        <f>IF(ISERROR(C208/(E208*H208)),0,ROUNDUP(C208/(E208*H208),0))</f>
        <v>1</v>
      </c>
    </row>
    <row r="209" spans="1:10" x14ac:dyDescent="0.2">
      <c r="A209" s="8" t="s">
        <v>855</v>
      </c>
      <c r="B209" s="8" t="s">
        <v>857</v>
      </c>
      <c r="G209" s="6"/>
      <c r="H209" s="6"/>
      <c r="I209" s="6"/>
      <c r="J209" s="6"/>
    </row>
    <row r="210" spans="1:10" x14ac:dyDescent="0.2">
      <c r="A210" s="8" t="s">
        <v>858</v>
      </c>
      <c r="B210" s="8" t="s">
        <v>860</v>
      </c>
      <c r="G210" s="6"/>
      <c r="H210" s="6"/>
      <c r="I210" s="6"/>
      <c r="J210" s="6"/>
    </row>
    <row r="211" spans="1:10" x14ac:dyDescent="0.2">
      <c r="A211" s="8" t="s">
        <v>864</v>
      </c>
      <c r="B211" s="8" t="s">
        <v>866</v>
      </c>
      <c r="C211">
        <v>10</v>
      </c>
      <c r="E211">
        <v>0.33333333333333331</v>
      </c>
      <c r="F211">
        <v>2</v>
      </c>
      <c r="G211">
        <f>F211*E211</f>
        <v>0.66666666666666663</v>
      </c>
      <c r="H211">
        <f>getNumber(Task_Table1!F211)</f>
        <v>15</v>
      </c>
      <c r="I211">
        <f>IF(ISERROR(C211/G211),0,ROUNDUP(C211/G211,0))</f>
        <v>15</v>
      </c>
      <c r="J211">
        <f>IF(ISERROR(C211/(E211*H211)),0,ROUNDUP(C211/(E211*H211),0))</f>
        <v>2</v>
      </c>
    </row>
    <row r="212" spans="1:10" x14ac:dyDescent="0.2">
      <c r="A212" s="8" t="s">
        <v>867</v>
      </c>
      <c r="B212" s="8" t="s">
        <v>869</v>
      </c>
      <c r="C212">
        <v>368</v>
      </c>
      <c r="E212">
        <v>12.266666666666667</v>
      </c>
      <c r="F212">
        <v>2</v>
      </c>
      <c r="G212">
        <f>F212*E212</f>
        <v>24.533333333333335</v>
      </c>
      <c r="H212">
        <f>getNumber(Task_Table1!F212)</f>
        <v>15</v>
      </c>
      <c r="I212">
        <f>IF(ISERROR(C212/G212),0,ROUNDUP(C212/G212,0))</f>
        <v>15</v>
      </c>
      <c r="J212">
        <f>IF(ISERROR(C212/(E212*H212)),0,ROUNDUP(C212/(E212*H212),0))</f>
        <v>2</v>
      </c>
    </row>
    <row r="213" spans="1:10" x14ac:dyDescent="0.2">
      <c r="A213" s="8" t="s">
        <v>870</v>
      </c>
      <c r="B213" s="8" t="s">
        <v>872</v>
      </c>
      <c r="C213">
        <v>784</v>
      </c>
      <c r="E213">
        <v>26.133333333333333</v>
      </c>
      <c r="F213">
        <v>2</v>
      </c>
      <c r="G213">
        <f>F213*E213</f>
        <v>52.266666666666666</v>
      </c>
      <c r="H213">
        <f>getNumber(Task_Table1!F213)</f>
        <v>15</v>
      </c>
      <c r="I213">
        <f>IF(ISERROR(C213/G213),0,ROUNDUP(C213/G213,0))</f>
        <v>15</v>
      </c>
      <c r="J213">
        <f>IF(ISERROR(C213/(E213*H213)),0,ROUNDUP(C213/(E213*H213),0))</f>
        <v>2</v>
      </c>
    </row>
    <row r="214" spans="1:10" x14ac:dyDescent="0.2">
      <c r="A214" s="8" t="s">
        <v>875</v>
      </c>
      <c r="B214" s="8" t="s">
        <v>877</v>
      </c>
      <c r="C214">
        <v>448</v>
      </c>
      <c r="E214">
        <v>14.933333333333334</v>
      </c>
      <c r="F214">
        <v>2</v>
      </c>
      <c r="G214">
        <f>F214*E214</f>
        <v>29.866666666666667</v>
      </c>
      <c r="H214">
        <f>getNumber(Task_Table1!F214)</f>
        <v>15</v>
      </c>
      <c r="I214">
        <f>IF(ISERROR(C214/G214),0,ROUNDUP(C214/G214,0))</f>
        <v>15</v>
      </c>
      <c r="J214">
        <f>IF(ISERROR(C214/(E214*H214)),0,ROUNDUP(C214/(E214*H214),0))</f>
        <v>2</v>
      </c>
    </row>
    <row r="215" spans="1:10" x14ac:dyDescent="0.2">
      <c r="A215" s="8" t="s">
        <v>879</v>
      </c>
      <c r="B215" s="8" t="s">
        <v>881</v>
      </c>
      <c r="C215">
        <v>366</v>
      </c>
      <c r="E215">
        <v>12.2</v>
      </c>
      <c r="F215">
        <v>2</v>
      </c>
      <c r="G215">
        <f>F215*E215</f>
        <v>24.4</v>
      </c>
      <c r="H215">
        <f>getNumber(Task_Table1!F215)</f>
        <v>15</v>
      </c>
      <c r="I215">
        <f>IF(ISERROR(C215/G215),0,ROUNDUP(C215/G215,0))</f>
        <v>15</v>
      </c>
      <c r="J215">
        <f>IF(ISERROR(C215/(E215*H215)),0,ROUNDUP(C215/(E215*H215),0))</f>
        <v>2</v>
      </c>
    </row>
    <row r="216" spans="1:10" x14ac:dyDescent="0.2">
      <c r="A216" s="8" t="s">
        <v>884</v>
      </c>
      <c r="B216" s="8" t="s">
        <v>886</v>
      </c>
      <c r="G216" s="6"/>
      <c r="H216" s="6"/>
      <c r="I216" s="6"/>
      <c r="J216" s="6"/>
    </row>
    <row r="217" spans="1:10" x14ac:dyDescent="0.2">
      <c r="A217" s="8" t="s">
        <v>889</v>
      </c>
      <c r="B217" s="8" t="s">
        <v>891</v>
      </c>
      <c r="C217">
        <v>50</v>
      </c>
      <c r="E217">
        <v>0.83333333333333337</v>
      </c>
      <c r="F217">
        <v>2</v>
      </c>
      <c r="G217">
        <f>F217*E217</f>
        <v>1.6666666666666667</v>
      </c>
      <c r="H217">
        <f>getNumber(Task_Table1!F217)</f>
        <v>30</v>
      </c>
      <c r="I217">
        <f>IF(ISERROR(C217/G217),0,ROUNDUP(C217/G217,0))</f>
        <v>30</v>
      </c>
      <c r="J217">
        <f>IF(ISERROR(C217/(E217*H217)),0,ROUNDUP(C217/(E217*H217),0))</f>
        <v>2</v>
      </c>
    </row>
    <row r="218" spans="1:10" x14ac:dyDescent="0.2">
      <c r="A218" s="8" t="s">
        <v>894</v>
      </c>
      <c r="B218" s="8" t="s">
        <v>896</v>
      </c>
      <c r="C218">
        <v>101</v>
      </c>
      <c r="E218">
        <v>1.6833333333333333</v>
      </c>
      <c r="F218">
        <v>2</v>
      </c>
      <c r="G218">
        <f>F218*E218</f>
        <v>3.3666666666666667</v>
      </c>
      <c r="H218">
        <f>getNumber(Task_Table1!F218)</f>
        <v>30</v>
      </c>
      <c r="I218">
        <f>IF(ISERROR(C218/G218),0,ROUNDUP(C218/G218,0))</f>
        <v>30</v>
      </c>
      <c r="J218">
        <f>IF(ISERROR(C218/(E218*H218)),0,ROUNDUP(C218/(E218*H218),0))</f>
        <v>2</v>
      </c>
    </row>
    <row r="219" spans="1:10" x14ac:dyDescent="0.2">
      <c r="A219" s="8" t="s">
        <v>898</v>
      </c>
      <c r="B219" s="8" t="s">
        <v>900</v>
      </c>
      <c r="C219">
        <v>137</v>
      </c>
      <c r="E219">
        <v>2.2833333333333332</v>
      </c>
      <c r="F219">
        <v>2</v>
      </c>
      <c r="G219">
        <f>F219*E219</f>
        <v>4.5666666666666664</v>
      </c>
      <c r="H219">
        <f>getNumber(Task_Table1!F219)</f>
        <v>30</v>
      </c>
      <c r="I219">
        <f>IF(ISERROR(C219/G219),0,ROUNDUP(C219/G219,0))</f>
        <v>30</v>
      </c>
      <c r="J219">
        <f>IF(ISERROR(C219/(E219*H219)),0,ROUNDUP(C219/(E219*H219),0))</f>
        <v>2</v>
      </c>
    </row>
    <row r="220" spans="1:10" x14ac:dyDescent="0.2">
      <c r="A220" s="8" t="s">
        <v>903</v>
      </c>
      <c r="B220" s="8" t="s">
        <v>905</v>
      </c>
      <c r="C220">
        <v>81</v>
      </c>
      <c r="E220">
        <v>1.35</v>
      </c>
      <c r="F220">
        <v>2</v>
      </c>
      <c r="G220">
        <f>F220*E220</f>
        <v>2.7</v>
      </c>
      <c r="H220">
        <f>getNumber(Task_Table1!F220)</f>
        <v>30</v>
      </c>
      <c r="I220">
        <f>IF(ISERROR(C220/G220),0,ROUNDUP(C220/G220,0))</f>
        <v>30</v>
      </c>
      <c r="J220">
        <f>IF(ISERROR(C220/(E220*H220)),0,ROUNDUP(C220/(E220*H220),0))</f>
        <v>2</v>
      </c>
    </row>
    <row r="221" spans="1:10" x14ac:dyDescent="0.2">
      <c r="A221" s="8" t="s">
        <v>906</v>
      </c>
      <c r="B221" s="8" t="s">
        <v>908</v>
      </c>
      <c r="G221" s="6"/>
      <c r="H221" s="6"/>
      <c r="I221" s="6"/>
      <c r="J221" s="6"/>
    </row>
    <row r="222" spans="1:10" x14ac:dyDescent="0.2">
      <c r="A222" s="8" t="s">
        <v>909</v>
      </c>
      <c r="B222" s="8" t="s">
        <v>911</v>
      </c>
      <c r="C222">
        <v>28</v>
      </c>
      <c r="E222">
        <v>0.93333333333333335</v>
      </c>
      <c r="F222">
        <v>2</v>
      </c>
      <c r="G222">
        <f>F222*E222</f>
        <v>1.8666666666666667</v>
      </c>
      <c r="H222">
        <f>getNumber(Task_Table1!F222)</f>
        <v>15</v>
      </c>
      <c r="I222">
        <f>IF(ISERROR(C222/G222),0,ROUNDUP(C222/G222,0))</f>
        <v>15</v>
      </c>
      <c r="J222">
        <f>IF(ISERROR(C222/(E222*H222)),0,ROUNDUP(C222/(E222*H222),0))</f>
        <v>2</v>
      </c>
    </row>
    <row r="223" spans="1:10" x14ac:dyDescent="0.2">
      <c r="A223" s="8" t="s">
        <v>912</v>
      </c>
      <c r="B223" s="8" t="s">
        <v>914</v>
      </c>
      <c r="C223">
        <v>33</v>
      </c>
      <c r="E223">
        <v>1.1000000000000001</v>
      </c>
      <c r="F223">
        <v>2</v>
      </c>
      <c r="G223">
        <f>F223*E223</f>
        <v>2.2000000000000002</v>
      </c>
      <c r="H223">
        <f>getNumber(Task_Table1!F223)</f>
        <v>15</v>
      </c>
      <c r="I223">
        <f>IF(ISERROR(C223/G223),0,ROUNDUP(C223/G223,0))</f>
        <v>15</v>
      </c>
      <c r="J223">
        <f>IF(ISERROR(C223/(E223*H223)),0,ROUNDUP(C223/(E223*H223),0))</f>
        <v>2</v>
      </c>
    </row>
    <row r="224" spans="1:10" x14ac:dyDescent="0.2">
      <c r="A224" s="8" t="s">
        <v>915</v>
      </c>
      <c r="B224" s="8" t="s">
        <v>917</v>
      </c>
      <c r="C224">
        <v>10</v>
      </c>
      <c r="E224">
        <v>0.33333333333333331</v>
      </c>
      <c r="F224">
        <v>2</v>
      </c>
      <c r="G224">
        <f>F224*E224</f>
        <v>0.66666666666666663</v>
      </c>
      <c r="H224">
        <f>getNumber(Task_Table1!F224)</f>
        <v>15</v>
      </c>
      <c r="I224">
        <f>IF(ISERROR(C224/G224),0,ROUNDUP(C224/G224,0))</f>
        <v>15</v>
      </c>
      <c r="J224">
        <f>IF(ISERROR(C224/(E224*H224)),0,ROUNDUP(C224/(E224*H224),0))</f>
        <v>2</v>
      </c>
    </row>
    <row r="225" spans="1:10" x14ac:dyDescent="0.2">
      <c r="A225" s="8" t="s">
        <v>918</v>
      </c>
      <c r="B225" s="8" t="s">
        <v>920</v>
      </c>
      <c r="C225">
        <v>9</v>
      </c>
      <c r="E225">
        <v>0.3</v>
      </c>
      <c r="F225">
        <v>2</v>
      </c>
      <c r="G225">
        <f>F225*E225</f>
        <v>0.6</v>
      </c>
      <c r="H225">
        <f>getNumber(Task_Table1!F225)</f>
        <v>15</v>
      </c>
      <c r="I225">
        <f>IF(ISERROR(C225/G225),0,ROUNDUP(C225/G225,0))</f>
        <v>15</v>
      </c>
      <c r="J225">
        <f>IF(ISERROR(C225/(E225*H225)),0,ROUNDUP(C225/(E225*H225),0))</f>
        <v>2</v>
      </c>
    </row>
    <row r="226" spans="1:10" x14ac:dyDescent="0.2">
      <c r="A226" s="8" t="s">
        <v>921</v>
      </c>
      <c r="B226" s="8" t="s">
        <v>923</v>
      </c>
      <c r="G226" s="6"/>
      <c r="H226" s="6"/>
      <c r="I226" s="6"/>
      <c r="J226" s="6"/>
    </row>
    <row r="227" spans="1:10" x14ac:dyDescent="0.2">
      <c r="A227" s="8" t="s">
        <v>924</v>
      </c>
      <c r="B227" s="8" t="s">
        <v>926</v>
      </c>
      <c r="C227">
        <v>12</v>
      </c>
      <c r="E227">
        <v>0.4</v>
      </c>
      <c r="F227">
        <v>2</v>
      </c>
      <c r="G227">
        <f>F227*E227</f>
        <v>0.8</v>
      </c>
      <c r="H227">
        <f>getNumber(Task_Table1!F227)</f>
        <v>15</v>
      </c>
      <c r="I227">
        <f>IF(ISERROR(C227/G227),0,ROUNDUP(C227/G227,0))</f>
        <v>15</v>
      </c>
      <c r="J227">
        <f>IF(ISERROR(C227/(E227*H227)),0,ROUNDUP(C227/(E227*H227),0))</f>
        <v>2</v>
      </c>
    </row>
    <row r="228" spans="1:10" x14ac:dyDescent="0.2">
      <c r="A228" s="8" t="s">
        <v>927</v>
      </c>
      <c r="B228" s="8" t="s">
        <v>929</v>
      </c>
      <c r="C228">
        <v>34</v>
      </c>
      <c r="E228">
        <v>1.1333333333333333</v>
      </c>
      <c r="F228">
        <v>2</v>
      </c>
      <c r="G228">
        <f>F228*E228</f>
        <v>2.2666666666666666</v>
      </c>
      <c r="H228">
        <f>getNumber(Task_Table1!F228)</f>
        <v>15</v>
      </c>
      <c r="I228">
        <f>IF(ISERROR(C228/G228),0,ROUNDUP(C228/G228,0))</f>
        <v>15</v>
      </c>
      <c r="J228">
        <f>IF(ISERROR(C228/(E228*H228)),0,ROUNDUP(C228/(E228*H228),0))</f>
        <v>2</v>
      </c>
    </row>
    <row r="229" spans="1:10" x14ac:dyDescent="0.2">
      <c r="A229" s="8" t="s">
        <v>930</v>
      </c>
      <c r="B229" s="8" t="s">
        <v>932</v>
      </c>
      <c r="C229">
        <v>32</v>
      </c>
      <c r="E229">
        <v>1.0666666666666667</v>
      </c>
      <c r="F229">
        <v>2</v>
      </c>
      <c r="G229">
        <f>F229*E229</f>
        <v>2.1333333333333333</v>
      </c>
      <c r="H229">
        <f>getNumber(Task_Table1!F229)</f>
        <v>15</v>
      </c>
      <c r="I229">
        <f>IF(ISERROR(C229/G229),0,ROUNDUP(C229/G229,0))</f>
        <v>15</v>
      </c>
      <c r="J229">
        <f>IF(ISERROR(C229/(E229*H229)),0,ROUNDUP(C229/(E229*H229),0))</f>
        <v>2</v>
      </c>
    </row>
    <row r="230" spans="1:10" x14ac:dyDescent="0.2">
      <c r="A230" s="8" t="s">
        <v>933</v>
      </c>
      <c r="B230" s="8" t="s">
        <v>935</v>
      </c>
      <c r="C230">
        <v>23</v>
      </c>
      <c r="E230">
        <v>0.76666666666666672</v>
      </c>
      <c r="F230">
        <v>2</v>
      </c>
      <c r="G230">
        <f>F230*E230</f>
        <v>1.5333333333333334</v>
      </c>
      <c r="H230">
        <f>getNumber(Task_Table1!F230)</f>
        <v>15</v>
      </c>
      <c r="I230">
        <f>IF(ISERROR(C230/G230),0,ROUNDUP(C230/G230,0))</f>
        <v>15</v>
      </c>
      <c r="J230">
        <f>IF(ISERROR(C230/(E230*H230)),0,ROUNDUP(C230/(E230*H230),0))</f>
        <v>2</v>
      </c>
    </row>
    <row r="231" spans="1:10" x14ac:dyDescent="0.2">
      <c r="A231" s="8" t="s">
        <v>936</v>
      </c>
      <c r="B231" s="8" t="s">
        <v>938</v>
      </c>
      <c r="C231">
        <v>16</v>
      </c>
      <c r="E231">
        <v>0.53333333333333333</v>
      </c>
      <c r="F231">
        <v>2</v>
      </c>
      <c r="G231">
        <f>F231*E231</f>
        <v>1.0666666666666667</v>
      </c>
      <c r="H231">
        <f>getNumber(Task_Table1!F231)</f>
        <v>15</v>
      </c>
      <c r="I231">
        <f>IF(ISERROR(C231/G231),0,ROUNDUP(C231/G231,0))</f>
        <v>15</v>
      </c>
      <c r="J231">
        <f>IF(ISERROR(C231/(E231*H231)),0,ROUNDUP(C231/(E231*H231),0))</f>
        <v>2</v>
      </c>
    </row>
    <row r="232" spans="1:10" x14ac:dyDescent="0.2">
      <c r="A232" s="8" t="s">
        <v>939</v>
      </c>
      <c r="B232" s="8" t="s">
        <v>941</v>
      </c>
      <c r="G232" s="6"/>
      <c r="H232" s="6"/>
      <c r="I232" s="6"/>
      <c r="J232" s="6"/>
    </row>
    <row r="233" spans="1:10" x14ac:dyDescent="0.2">
      <c r="A233" s="8" t="s">
        <v>942</v>
      </c>
      <c r="B233" s="8" t="s">
        <v>944</v>
      </c>
      <c r="C233">
        <v>10</v>
      </c>
      <c r="E233">
        <v>0.33333333333333331</v>
      </c>
      <c r="F233">
        <v>2</v>
      </c>
      <c r="G233">
        <f>F233*E233</f>
        <v>0.66666666666666663</v>
      </c>
      <c r="H233">
        <f>getNumber(Task_Table1!F233)</f>
        <v>15</v>
      </c>
      <c r="I233">
        <f>IF(ISERROR(C233/G233),0,ROUNDUP(C233/G233,0))</f>
        <v>15</v>
      </c>
      <c r="J233">
        <f>IF(ISERROR(C233/(E233*H233)),0,ROUNDUP(C233/(E233*H233),0))</f>
        <v>2</v>
      </c>
    </row>
    <row r="234" spans="1:10" x14ac:dyDescent="0.2">
      <c r="A234" s="8" t="s">
        <v>945</v>
      </c>
      <c r="B234" s="8" t="s">
        <v>947</v>
      </c>
      <c r="G234" s="6"/>
      <c r="H234" s="6"/>
      <c r="I234" s="6"/>
      <c r="J234" s="6"/>
    </row>
    <row r="235" spans="1:10" x14ac:dyDescent="0.2">
      <c r="A235" s="8" t="s">
        <v>948</v>
      </c>
      <c r="B235" s="8" t="s">
        <v>950</v>
      </c>
      <c r="C235">
        <f>165.91/5</f>
        <v>33.182000000000002</v>
      </c>
      <c r="E235">
        <v>0.2073875</v>
      </c>
      <c r="F235">
        <v>1</v>
      </c>
      <c r="G235">
        <f>F235*E235</f>
        <v>0.2073875</v>
      </c>
      <c r="H235">
        <f>getNumber(Task_Table1!F235)</f>
        <v>160</v>
      </c>
      <c r="I235">
        <f>IF(ISERROR(C235/G235),0,ROUNDUP(C235/G235,0))</f>
        <v>160</v>
      </c>
      <c r="J235">
        <f>IF(ISERROR(C235/(E235*H235)),0,ROUNDUP(C235/(E235*H235),0))</f>
        <v>1</v>
      </c>
    </row>
    <row r="236" spans="1:10" x14ac:dyDescent="0.2">
      <c r="A236" s="8" t="s">
        <v>952</v>
      </c>
      <c r="B236" s="8" t="s">
        <v>954</v>
      </c>
      <c r="C236">
        <f>165.91/5</f>
        <v>33.182000000000002</v>
      </c>
      <c r="E236">
        <v>0.2073875</v>
      </c>
      <c r="F236">
        <v>1</v>
      </c>
      <c r="G236">
        <f>F236*E236</f>
        <v>0.2073875</v>
      </c>
      <c r="H236">
        <f>getNumber(Task_Table1!F236)</f>
        <v>160</v>
      </c>
      <c r="I236">
        <f>IF(ISERROR(C236/G236),0,ROUNDUP(C236/G236,0))</f>
        <v>160</v>
      </c>
      <c r="J236">
        <f>IF(ISERROR(C236/(E236*H236)),0,ROUNDUP(C236/(E236*H236),0))</f>
        <v>1</v>
      </c>
    </row>
    <row r="237" spans="1:10" x14ac:dyDescent="0.2">
      <c r="A237" s="8" t="s">
        <v>951</v>
      </c>
      <c r="B237" s="8" t="s">
        <v>956</v>
      </c>
      <c r="C237">
        <f>165.91/5</f>
        <v>33.182000000000002</v>
      </c>
      <c r="E237">
        <v>0.1896114285714286</v>
      </c>
      <c r="F237">
        <v>1</v>
      </c>
      <c r="G237">
        <f>F237*E237</f>
        <v>0.1896114285714286</v>
      </c>
      <c r="H237">
        <f>getNumber(Task_Table1!F237)</f>
        <v>175</v>
      </c>
      <c r="I237">
        <f>IF(ISERROR(C237/G237),0,ROUNDUP(C237/G237,0))</f>
        <v>175</v>
      </c>
      <c r="J237">
        <f>IF(ISERROR(C237/(E237*H237)),0,ROUNDUP(C237/(E237*H237),0))</f>
        <v>1</v>
      </c>
    </row>
    <row r="238" spans="1:10" x14ac:dyDescent="0.2">
      <c r="A238" s="8" t="s">
        <v>957</v>
      </c>
      <c r="B238" s="8" t="s">
        <v>960</v>
      </c>
      <c r="C238">
        <f>165.91/5</f>
        <v>33.182000000000002</v>
      </c>
      <c r="E238">
        <v>0.1896114285714286</v>
      </c>
      <c r="F238">
        <v>1</v>
      </c>
      <c r="G238">
        <f>F238*E238</f>
        <v>0.1896114285714286</v>
      </c>
      <c r="H238">
        <f>getNumber(Task_Table1!F238)</f>
        <v>175</v>
      </c>
      <c r="I238">
        <f>IF(ISERROR(C238/G238),0,ROUNDUP(C238/G238,0))</f>
        <v>175</v>
      </c>
      <c r="J238">
        <f>IF(ISERROR(C238/(E238*H238)),0,ROUNDUP(C238/(E238*H238),0))</f>
        <v>1</v>
      </c>
    </row>
    <row r="239" spans="1:10" x14ac:dyDescent="0.2">
      <c r="A239" s="8" t="s">
        <v>961</v>
      </c>
      <c r="B239" s="8" t="s">
        <v>963</v>
      </c>
      <c r="C239">
        <f>165.91/5</f>
        <v>33.182000000000002</v>
      </c>
      <c r="E239">
        <v>0.2073875</v>
      </c>
      <c r="F239">
        <v>1</v>
      </c>
      <c r="G239">
        <f>F239*E239</f>
        <v>0.2073875</v>
      </c>
      <c r="H239">
        <f>getNumber(Task_Table1!F239)</f>
        <v>160</v>
      </c>
      <c r="I239">
        <f>IF(ISERROR(C239/G239),0,ROUNDUP(C239/G239,0))</f>
        <v>160</v>
      </c>
      <c r="J239">
        <f>IF(ISERROR(C239/(E239*H239)),0,ROUNDUP(C239/(E239*H239),0))</f>
        <v>1</v>
      </c>
    </row>
    <row r="240" spans="1:10" x14ac:dyDescent="0.2">
      <c r="A240" s="8" t="s">
        <v>964</v>
      </c>
      <c r="B240" s="8" t="s">
        <v>966</v>
      </c>
      <c r="G240" s="6"/>
      <c r="H240" s="6"/>
      <c r="I240" s="6"/>
      <c r="J240" s="6"/>
    </row>
    <row r="241" spans="1:10" x14ac:dyDescent="0.2">
      <c r="A241" s="8" t="s">
        <v>972</v>
      </c>
      <c r="B241" s="8" t="s">
        <v>974</v>
      </c>
      <c r="C241">
        <v>1</v>
      </c>
      <c r="E241">
        <v>0.14285714285714285</v>
      </c>
      <c r="F241">
        <v>1</v>
      </c>
      <c r="G241">
        <f>F241*E241</f>
        <v>0.14285714285714285</v>
      </c>
      <c r="H241">
        <f>getNumber(Task_Table1!F241)</f>
        <v>7</v>
      </c>
      <c r="I241">
        <f>IF(ISERROR(C241/G241),0,ROUNDUP(C241/G241,0))</f>
        <v>7</v>
      </c>
      <c r="J241">
        <f>IF(ISERROR(C241/(E241*H241)),0,ROUNDUP(C241/(E241*H241),0))</f>
        <v>1</v>
      </c>
    </row>
    <row r="242" spans="1:10" x14ac:dyDescent="0.2">
      <c r="A242" s="8" t="s">
        <v>976</v>
      </c>
      <c r="B242" s="8" t="s">
        <v>981</v>
      </c>
      <c r="C242">
        <v>30</v>
      </c>
      <c r="E242">
        <v>1.4285714285714286</v>
      </c>
      <c r="F242">
        <v>3</v>
      </c>
      <c r="G242">
        <f>F242*E242</f>
        <v>4.2857142857142856</v>
      </c>
      <c r="H242">
        <f>getNumber(Task_Table1!F242)</f>
        <v>7</v>
      </c>
      <c r="I242">
        <f>IF(ISERROR(C242/G242),0,ROUNDUP(C242/G242,0))</f>
        <v>7</v>
      </c>
      <c r="J242">
        <f>IF(ISERROR(C242/(E242*H242)),0,ROUNDUP(C242/(E242*H242),0))</f>
        <v>3</v>
      </c>
    </row>
    <row r="243" spans="1:10" x14ac:dyDescent="0.2">
      <c r="A243" s="8" t="s">
        <v>984</v>
      </c>
      <c r="B243" s="8" t="s">
        <v>986</v>
      </c>
      <c r="C243">
        <v>37</v>
      </c>
      <c r="E243">
        <v>1.7619047619047619</v>
      </c>
      <c r="F243">
        <v>3</v>
      </c>
      <c r="G243">
        <f>F243*E243</f>
        <v>5.2857142857142856</v>
      </c>
      <c r="H243">
        <f>getNumber(Task_Table1!F243)</f>
        <v>7</v>
      </c>
      <c r="I243">
        <f>IF(ISERROR(C243/G243),0,ROUNDUP(C243/G243,0))</f>
        <v>7</v>
      </c>
      <c r="J243">
        <f>IF(ISERROR(C243/(E243*H243)),0,ROUNDUP(C243/(E243*H243),0))</f>
        <v>3</v>
      </c>
    </row>
    <row r="244" spans="1:10" x14ac:dyDescent="0.2">
      <c r="A244" s="8" t="s">
        <v>989</v>
      </c>
      <c r="B244" s="8" t="s">
        <v>991</v>
      </c>
      <c r="C244">
        <v>27</v>
      </c>
      <c r="E244">
        <v>1.9285714285714286</v>
      </c>
      <c r="F244">
        <v>2</v>
      </c>
      <c r="G244">
        <f>F244*E244</f>
        <v>3.8571428571428572</v>
      </c>
      <c r="H244">
        <f>getNumber(Task_Table1!F244)</f>
        <v>7</v>
      </c>
      <c r="I244">
        <f>IF(ISERROR(C244/G244),0,ROUNDUP(C244/G244,0))</f>
        <v>7</v>
      </c>
      <c r="J244">
        <f>IF(ISERROR(C244/(E244*H244)),0,ROUNDUP(C244/(E244*H244),0))</f>
        <v>2</v>
      </c>
    </row>
    <row r="245" spans="1:10" x14ac:dyDescent="0.2">
      <c r="A245" s="8" t="s">
        <v>994</v>
      </c>
      <c r="B245" s="8" t="s">
        <v>996</v>
      </c>
      <c r="C245">
        <v>20</v>
      </c>
      <c r="E245">
        <v>1.4285714285714286</v>
      </c>
      <c r="F245">
        <v>2</v>
      </c>
      <c r="G245">
        <f>F245*E245</f>
        <v>2.8571428571428572</v>
      </c>
      <c r="H245">
        <f>getNumber(Task_Table1!F245)</f>
        <v>7</v>
      </c>
      <c r="I245">
        <f>IF(ISERROR(C245/G245),0,ROUNDUP(C245/G245,0))</f>
        <v>7</v>
      </c>
      <c r="J245">
        <f>IF(ISERROR(C245/(E245*H245)),0,ROUNDUP(C245/(E245*H245),0))</f>
        <v>2</v>
      </c>
    </row>
    <row r="246" spans="1:10" x14ac:dyDescent="0.2">
      <c r="A246" s="8" t="s">
        <v>997</v>
      </c>
      <c r="B246" s="8" t="s">
        <v>999</v>
      </c>
      <c r="G246" s="6"/>
      <c r="H246" s="6"/>
      <c r="I246" s="6"/>
      <c r="J246" s="6"/>
    </row>
    <row r="247" spans="1:10" x14ac:dyDescent="0.2">
      <c r="A247" s="8" t="s">
        <v>1000</v>
      </c>
      <c r="B247" s="8" t="s">
        <v>1002</v>
      </c>
      <c r="C247">
        <v>8</v>
      </c>
      <c r="E247">
        <v>1.1428571428571428</v>
      </c>
      <c r="F247">
        <v>1</v>
      </c>
      <c r="G247">
        <f>F247*E247</f>
        <v>1.1428571428571428</v>
      </c>
      <c r="H247">
        <f>getNumber(Task_Table1!F247)</f>
        <v>7</v>
      </c>
      <c r="I247">
        <f>IF(ISERROR(C247/G247),0,ROUNDUP(C247/G247,0))</f>
        <v>7</v>
      </c>
      <c r="J247">
        <f>IF(ISERROR(C247/(E247*H247)),0,ROUNDUP(C247/(E247*H247),0))</f>
        <v>1</v>
      </c>
    </row>
    <row r="248" spans="1:10" x14ac:dyDescent="0.2">
      <c r="A248" s="8" t="s">
        <v>1003</v>
      </c>
      <c r="B248" s="8" t="s">
        <v>1005</v>
      </c>
      <c r="C248">
        <v>16</v>
      </c>
      <c r="E248">
        <v>1.1428571428571428</v>
      </c>
      <c r="F248">
        <v>2</v>
      </c>
      <c r="G248">
        <f>F248*E248</f>
        <v>2.2857142857142856</v>
      </c>
      <c r="H248">
        <f>getNumber(Task_Table1!F248)</f>
        <v>7</v>
      </c>
      <c r="I248">
        <f>IF(ISERROR(C248/G248),0,ROUNDUP(C248/G248,0))</f>
        <v>7</v>
      </c>
      <c r="J248">
        <f>IF(ISERROR(C248/(E248*H248)),0,ROUNDUP(C248/(E248*H248),0))</f>
        <v>2</v>
      </c>
    </row>
    <row r="249" spans="1:10" x14ac:dyDescent="0.2">
      <c r="A249" s="8" t="s">
        <v>1006</v>
      </c>
      <c r="B249" s="8" t="s">
        <v>1008</v>
      </c>
      <c r="C249">
        <v>11</v>
      </c>
      <c r="E249">
        <v>1.5714285714285714</v>
      </c>
      <c r="F249">
        <v>1</v>
      </c>
      <c r="G249">
        <f>F249*E249</f>
        <v>1.5714285714285714</v>
      </c>
      <c r="H249">
        <f>getNumber(Task_Table1!F249)</f>
        <v>7</v>
      </c>
      <c r="I249">
        <f>IF(ISERROR(C249/G249),0,ROUNDUP(C249/G249,0))</f>
        <v>7</v>
      </c>
      <c r="J249">
        <f>IF(ISERROR(C249/(E249*H249)),0,ROUNDUP(C249/(E249*H249),0))</f>
        <v>1</v>
      </c>
    </row>
    <row r="250" spans="1:10" x14ac:dyDescent="0.2">
      <c r="A250" s="8" t="s">
        <v>1009</v>
      </c>
      <c r="B250" s="8" t="s">
        <v>1011</v>
      </c>
      <c r="C250">
        <v>7</v>
      </c>
      <c r="E250">
        <v>1</v>
      </c>
      <c r="F250">
        <v>1</v>
      </c>
      <c r="G250">
        <f>F250*E250</f>
        <v>1</v>
      </c>
      <c r="H250">
        <f>getNumber(Task_Table1!F250)</f>
        <v>7</v>
      </c>
      <c r="I250">
        <f>IF(ISERROR(C250/G250),0,ROUNDUP(C250/G250,0))</f>
        <v>7</v>
      </c>
      <c r="J250">
        <f>IF(ISERROR(C250/(E250*H250)),0,ROUNDUP(C250/(E250*H250),0))</f>
        <v>1</v>
      </c>
    </row>
    <row r="251" spans="1:10" x14ac:dyDescent="0.2">
      <c r="A251" s="8" t="s">
        <v>1012</v>
      </c>
      <c r="B251" s="8" t="s">
        <v>1014</v>
      </c>
      <c r="C251">
        <v>12</v>
      </c>
      <c r="E251">
        <v>0.8571428571428571</v>
      </c>
      <c r="F251">
        <v>2</v>
      </c>
      <c r="G251">
        <f>F251*E251</f>
        <v>1.7142857142857142</v>
      </c>
      <c r="H251">
        <f>getNumber(Task_Table1!F251)</f>
        <v>7</v>
      </c>
      <c r="I251">
        <f>IF(ISERROR(C251/G251),0,ROUNDUP(C251/G251,0))</f>
        <v>7</v>
      </c>
      <c r="J251">
        <f>IF(ISERROR(C251/(E251*H251)),0,ROUNDUP(C251/(E251*H251),0))</f>
        <v>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2:CR41"/>
  <sheetViews>
    <sheetView workbookViewId="0">
      <pane ySplit="1" topLeftCell="A2" activePane="bottomLeft" state="frozen"/>
      <selection pane="bottomLeft" activeCell="C12" sqref="C12"/>
    </sheetView>
  </sheetViews>
  <sheetFormatPr baseColWidth="10" defaultColWidth="8.83203125" defaultRowHeight="15" x14ac:dyDescent="0.2"/>
  <cols>
    <col min="1" max="1" width="26.6640625" bestFit="1" customWidth="1"/>
    <col min="2" max="2" width="8.6640625" bestFit="1" customWidth="1"/>
    <col min="3" max="3" width="8.33203125" bestFit="1" customWidth="1"/>
    <col min="4" max="12" width="2" bestFit="1" customWidth="1"/>
    <col min="13" max="68" width="3" bestFit="1" customWidth="1"/>
    <col min="69" max="69" width="3" style="7" bestFit="1" customWidth="1"/>
    <col min="70" max="94" width="3" bestFit="1" customWidth="1"/>
    <col min="95" max="96" width="3" style="7" bestFit="1" customWidth="1"/>
    <col min="97" max="102" width="3" bestFit="1" customWidth="1"/>
    <col min="103" max="129" width="4" bestFit="1" customWidth="1"/>
    <col min="130" max="383" width="3.83203125" bestFit="1" customWidth="1"/>
  </cols>
  <sheetData>
    <row r="2" spans="1:2" x14ac:dyDescent="0.2">
      <c r="A2" s="9"/>
      <c r="B2" s="1"/>
    </row>
    <row r="3" spans="1:2" x14ac:dyDescent="0.2">
      <c r="A3" s="1"/>
      <c r="B3" s="1"/>
    </row>
    <row r="4" spans="1:2" x14ac:dyDescent="0.2">
      <c r="A4" s="1"/>
      <c r="B4" s="1"/>
    </row>
    <row r="5" spans="1:2" x14ac:dyDescent="0.2">
      <c r="A5" s="1"/>
      <c r="B5" s="1"/>
    </row>
    <row r="6" spans="1:2" x14ac:dyDescent="0.2">
      <c r="A6" s="1"/>
      <c r="B6" s="1"/>
    </row>
    <row r="7" spans="1:2" x14ac:dyDescent="0.2">
      <c r="A7" s="1"/>
      <c r="B7" s="1"/>
    </row>
    <row r="8" spans="1:2" x14ac:dyDescent="0.2">
      <c r="A8" s="1"/>
      <c r="B8" s="1"/>
    </row>
    <row r="9" spans="1:2" x14ac:dyDescent="0.2">
      <c r="A9" s="1"/>
      <c r="B9" s="1"/>
    </row>
    <row r="10" spans="1:2" x14ac:dyDescent="0.2">
      <c r="A10" s="1"/>
      <c r="B10" s="1"/>
    </row>
    <row r="11" spans="1:2" x14ac:dyDescent="0.2">
      <c r="A11" s="1"/>
      <c r="B11" s="1"/>
    </row>
    <row r="12" spans="1:2" x14ac:dyDescent="0.2">
      <c r="A12" s="1"/>
      <c r="B12" s="1"/>
    </row>
    <row r="13" spans="1:2" x14ac:dyDescent="0.2">
      <c r="A13" s="1"/>
      <c r="B13" s="1"/>
    </row>
    <row r="14" spans="1:2" x14ac:dyDescent="0.2">
      <c r="A14" s="1"/>
      <c r="B14" s="1"/>
    </row>
    <row r="15" spans="1:2" x14ac:dyDescent="0.2">
      <c r="A15" s="1"/>
      <c r="B15" s="1"/>
    </row>
    <row r="16" spans="1:2" x14ac:dyDescent="0.2">
      <c r="A16" s="1"/>
      <c r="B16" s="1"/>
    </row>
    <row r="17" spans="1:2" x14ac:dyDescent="0.2">
      <c r="A17" s="1"/>
      <c r="B17" s="1"/>
    </row>
    <row r="18" spans="1:2" x14ac:dyDescent="0.2">
      <c r="A18" s="1"/>
      <c r="B18" s="1"/>
    </row>
    <row r="19" spans="1:2" x14ac:dyDescent="0.2">
      <c r="A19" s="1"/>
      <c r="B19" s="1"/>
    </row>
    <row r="20" spans="1:2" x14ac:dyDescent="0.2">
      <c r="A20" s="1"/>
      <c r="B20" s="1"/>
    </row>
    <row r="21" spans="1:2" x14ac:dyDescent="0.2">
      <c r="A21" s="1"/>
      <c r="B21" s="1"/>
    </row>
    <row r="22" spans="1:2" x14ac:dyDescent="0.2">
      <c r="A22" s="1"/>
      <c r="B22" s="1"/>
    </row>
    <row r="23" spans="1:2" x14ac:dyDescent="0.2">
      <c r="A23" s="1"/>
      <c r="B23" s="1"/>
    </row>
    <row r="24" spans="1:2" x14ac:dyDescent="0.2">
      <c r="A24" s="1"/>
      <c r="B24" s="1"/>
    </row>
    <row r="25" spans="1:2" x14ac:dyDescent="0.2">
      <c r="A25" s="1"/>
      <c r="B25" s="1"/>
    </row>
    <row r="26" spans="1:2" x14ac:dyDescent="0.2">
      <c r="A26" s="1"/>
      <c r="B26" s="1"/>
    </row>
    <row r="27" spans="1:2" x14ac:dyDescent="0.2">
      <c r="A27" s="1"/>
      <c r="B27" s="1"/>
    </row>
    <row r="28" spans="1:2" x14ac:dyDescent="0.2">
      <c r="A28" s="1"/>
      <c r="B28" s="1"/>
    </row>
    <row r="29" spans="1:2" x14ac:dyDescent="0.2">
      <c r="A29" s="1"/>
      <c r="B29" s="1"/>
    </row>
    <row r="30" spans="1:2" x14ac:dyDescent="0.2">
      <c r="A30" s="1"/>
      <c r="B30" s="1"/>
    </row>
    <row r="31" spans="1:2" x14ac:dyDescent="0.2">
      <c r="A31" s="1"/>
      <c r="B31" s="1"/>
    </row>
    <row r="32" spans="1:2" x14ac:dyDescent="0.2">
      <c r="A32" s="1"/>
      <c r="B32" s="1"/>
    </row>
    <row r="33" spans="1:96" x14ac:dyDescent="0.2">
      <c r="A33" s="1"/>
      <c r="B33" s="1"/>
    </row>
    <row r="34" spans="1:96" x14ac:dyDescent="0.2">
      <c r="A34" s="1"/>
      <c r="B34" s="1"/>
    </row>
    <row r="35" spans="1:96" x14ac:dyDescent="0.2">
      <c r="A35" s="1"/>
      <c r="B35" s="1"/>
    </row>
    <row r="36" spans="1:96" x14ac:dyDescent="0.2">
      <c r="A36" s="1"/>
      <c r="B36" s="1"/>
    </row>
    <row r="37" spans="1:96" x14ac:dyDescent="0.2">
      <c r="A37" s="1"/>
      <c r="BQ37" s="6"/>
      <c r="CQ37" s="6"/>
      <c r="CR37" s="6"/>
    </row>
    <row r="38" spans="1:96" x14ac:dyDescent="0.2">
      <c r="A38" s="1"/>
    </row>
    <row r="39" spans="1:96" x14ac:dyDescent="0.2">
      <c r="A39" s="1"/>
      <c r="BQ39" s="6"/>
      <c r="CQ39" s="6"/>
      <c r="CR39" s="6"/>
    </row>
    <row r="40" spans="1:96" x14ac:dyDescent="0.2">
      <c r="A40" s="1"/>
    </row>
    <row r="41" spans="1:96" x14ac:dyDescent="0.2">
      <c r="A41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Z721"/>
  <sheetViews>
    <sheetView topLeftCell="S1" workbookViewId="0">
      <pane ySplit="1" topLeftCell="A2" activePane="bottomLeft" state="frozen"/>
      <selection pane="bottomLeft" activeCell="N11" sqref="N11"/>
    </sheetView>
  </sheetViews>
  <sheetFormatPr baseColWidth="10" defaultColWidth="8.83203125" defaultRowHeight="15" x14ac:dyDescent="0.2"/>
  <sheetData>
    <row r="1" spans="1:26" x14ac:dyDescent="0.2">
      <c r="A1" t="s">
        <v>14</v>
      </c>
      <c r="B1" t="s">
        <v>1081</v>
      </c>
      <c r="C1" t="s">
        <v>1129</v>
      </c>
      <c r="D1" t="s">
        <v>1134</v>
      </c>
      <c r="E1" t="s">
        <v>1145</v>
      </c>
      <c r="F1" t="s">
        <v>1165</v>
      </c>
      <c r="G1" t="s">
        <v>1365</v>
      </c>
    </row>
    <row r="2" spans="1:26" x14ac:dyDescent="0.2">
      <c r="A2">
        <v>1</v>
      </c>
      <c r="B2" s="39">
        <v>40</v>
      </c>
      <c r="C2">
        <v>0</v>
      </c>
      <c r="D2">
        <v>0</v>
      </c>
      <c r="E2">
        <v>0</v>
      </c>
      <c r="F2">
        <v>0</v>
      </c>
      <c r="G2">
        <v>40</v>
      </c>
      <c r="I2" t="s">
        <v>1081</v>
      </c>
      <c r="M2" t="s">
        <v>1129</v>
      </c>
      <c r="Q2" t="s">
        <v>1134</v>
      </c>
      <c r="U2" t="s">
        <v>1145</v>
      </c>
      <c r="Y2" t="s">
        <v>1165</v>
      </c>
    </row>
    <row r="3" spans="1:26" x14ac:dyDescent="0.2">
      <c r="A3">
        <v>2</v>
      </c>
      <c r="B3" s="39">
        <v>40</v>
      </c>
      <c r="C3">
        <v>0</v>
      </c>
      <c r="D3">
        <v>0</v>
      </c>
      <c r="E3">
        <v>0</v>
      </c>
      <c r="F3">
        <v>0</v>
      </c>
      <c r="G3">
        <v>40</v>
      </c>
      <c r="I3" t="s">
        <v>10</v>
      </c>
      <c r="J3">
        <v>52</v>
      </c>
      <c r="M3" t="s">
        <v>10</v>
      </c>
      <c r="N3">
        <v>95</v>
      </c>
      <c r="Q3" t="s">
        <v>10</v>
      </c>
      <c r="R3">
        <v>64</v>
      </c>
      <c r="U3" t="s">
        <v>10</v>
      </c>
      <c r="V3">
        <v>32</v>
      </c>
      <c r="Y3" t="s">
        <v>10</v>
      </c>
      <c r="Z3">
        <v>46</v>
      </c>
    </row>
    <row r="4" spans="1:26" x14ac:dyDescent="0.2">
      <c r="A4">
        <v>3</v>
      </c>
      <c r="B4" s="39">
        <v>40</v>
      </c>
      <c r="C4">
        <v>0</v>
      </c>
      <c r="D4">
        <v>0</v>
      </c>
      <c r="E4">
        <v>0</v>
      </c>
      <c r="F4">
        <v>0</v>
      </c>
      <c r="G4">
        <v>40</v>
      </c>
      <c r="I4" t="s">
        <v>11</v>
      </c>
      <c r="J4">
        <v>4328</v>
      </c>
      <c r="M4" t="s">
        <v>11</v>
      </c>
      <c r="N4">
        <v>24616</v>
      </c>
      <c r="Q4" t="s">
        <v>11</v>
      </c>
      <c r="R4">
        <v>14448</v>
      </c>
      <c r="U4" t="s">
        <v>11</v>
      </c>
      <c r="V4">
        <v>2264</v>
      </c>
      <c r="Y4" t="s">
        <v>11</v>
      </c>
      <c r="Z4">
        <v>7101</v>
      </c>
    </row>
    <row r="5" spans="1:26" x14ac:dyDescent="0.2">
      <c r="A5">
        <v>4</v>
      </c>
      <c r="B5" s="39">
        <v>40</v>
      </c>
      <c r="C5">
        <v>12</v>
      </c>
      <c r="D5">
        <v>0</v>
      </c>
      <c r="E5">
        <v>0</v>
      </c>
      <c r="F5">
        <v>0</v>
      </c>
      <c r="G5">
        <v>52</v>
      </c>
      <c r="I5" t="s">
        <v>12</v>
      </c>
      <c r="J5">
        <v>67616</v>
      </c>
      <c r="M5" t="s">
        <v>12</v>
      </c>
      <c r="N5">
        <v>200617</v>
      </c>
      <c r="Q5" t="s">
        <v>12</v>
      </c>
      <c r="R5">
        <v>42328</v>
      </c>
      <c r="U5" t="s">
        <v>12</v>
      </c>
      <c r="V5">
        <v>29080</v>
      </c>
      <c r="Y5" t="s">
        <v>12</v>
      </c>
      <c r="Z5">
        <v>58757</v>
      </c>
    </row>
    <row r="6" spans="1:26" x14ac:dyDescent="0.2">
      <c r="A6">
        <v>5</v>
      </c>
      <c r="B6" s="39">
        <v>40</v>
      </c>
      <c r="C6">
        <v>12</v>
      </c>
      <c r="D6">
        <v>0</v>
      </c>
      <c r="E6">
        <v>0</v>
      </c>
      <c r="F6">
        <v>0</v>
      </c>
      <c r="G6">
        <v>52</v>
      </c>
      <c r="I6" t="s">
        <v>13</v>
      </c>
      <c r="J6">
        <v>52</v>
      </c>
      <c r="M6" t="s">
        <v>13</v>
      </c>
      <c r="N6">
        <v>48</v>
      </c>
      <c r="Q6" t="s">
        <v>13</v>
      </c>
      <c r="R6">
        <v>26</v>
      </c>
      <c r="U6" t="s">
        <v>13</v>
      </c>
      <c r="V6">
        <v>13</v>
      </c>
      <c r="Y6" t="s">
        <v>13</v>
      </c>
      <c r="Z6">
        <v>18</v>
      </c>
    </row>
    <row r="7" spans="1:26" x14ac:dyDescent="0.2">
      <c r="A7">
        <v>6</v>
      </c>
      <c r="B7" s="39">
        <v>40</v>
      </c>
      <c r="C7">
        <v>12</v>
      </c>
      <c r="D7">
        <v>0</v>
      </c>
      <c r="E7">
        <v>0</v>
      </c>
      <c r="F7">
        <v>0</v>
      </c>
      <c r="G7">
        <v>52</v>
      </c>
      <c r="I7" t="s">
        <v>14</v>
      </c>
      <c r="J7">
        <v>675</v>
      </c>
      <c r="M7" t="s">
        <v>14</v>
      </c>
      <c r="N7">
        <v>720</v>
      </c>
      <c r="Q7" t="s">
        <v>14</v>
      </c>
      <c r="R7">
        <v>720</v>
      </c>
      <c r="U7" t="s">
        <v>14</v>
      </c>
      <c r="V7">
        <v>720</v>
      </c>
      <c r="Y7" t="s">
        <v>14</v>
      </c>
      <c r="Z7">
        <v>720</v>
      </c>
    </row>
    <row r="8" spans="1:26" x14ac:dyDescent="0.2">
      <c r="A8">
        <v>7</v>
      </c>
      <c r="B8" s="39">
        <v>40</v>
      </c>
      <c r="C8">
        <v>12</v>
      </c>
      <c r="D8">
        <v>0</v>
      </c>
      <c r="E8">
        <v>0</v>
      </c>
      <c r="F8">
        <v>0</v>
      </c>
      <c r="G8">
        <v>52</v>
      </c>
    </row>
    <row r="9" spans="1:26" x14ac:dyDescent="0.2">
      <c r="A9">
        <v>8</v>
      </c>
      <c r="B9" s="39">
        <v>40</v>
      </c>
      <c r="C9">
        <v>12</v>
      </c>
      <c r="D9">
        <v>0</v>
      </c>
      <c r="E9">
        <v>0</v>
      </c>
      <c r="F9">
        <v>0</v>
      </c>
      <c r="G9">
        <v>52</v>
      </c>
    </row>
    <row r="10" spans="1:26" x14ac:dyDescent="0.2">
      <c r="A10">
        <v>9</v>
      </c>
      <c r="B10" s="39">
        <v>40</v>
      </c>
      <c r="C10">
        <v>12</v>
      </c>
      <c r="D10">
        <v>0</v>
      </c>
      <c r="E10">
        <v>0</v>
      </c>
      <c r="F10">
        <v>0</v>
      </c>
      <c r="G10">
        <v>52</v>
      </c>
    </row>
    <row r="11" spans="1:26" x14ac:dyDescent="0.2">
      <c r="A11">
        <v>10</v>
      </c>
      <c r="B11" s="39">
        <v>44</v>
      </c>
      <c r="C11">
        <v>12</v>
      </c>
      <c r="D11">
        <v>0</v>
      </c>
      <c r="E11">
        <v>0</v>
      </c>
      <c r="F11">
        <v>0</v>
      </c>
      <c r="G11">
        <v>56</v>
      </c>
    </row>
    <row r="12" spans="1:26" x14ac:dyDescent="0.2">
      <c r="A12">
        <v>11</v>
      </c>
      <c r="B12" s="39">
        <v>44</v>
      </c>
      <c r="C12">
        <v>12</v>
      </c>
      <c r="D12">
        <v>0</v>
      </c>
      <c r="E12">
        <v>0</v>
      </c>
      <c r="F12">
        <v>0</v>
      </c>
      <c r="G12">
        <v>56</v>
      </c>
    </row>
    <row r="13" spans="1:26" x14ac:dyDescent="0.2">
      <c r="A13">
        <v>12</v>
      </c>
      <c r="B13" s="39">
        <v>44</v>
      </c>
      <c r="C13">
        <v>12</v>
      </c>
      <c r="D13">
        <v>0</v>
      </c>
      <c r="E13">
        <v>0</v>
      </c>
      <c r="F13">
        <v>0</v>
      </c>
      <c r="G13">
        <v>56</v>
      </c>
    </row>
    <row r="14" spans="1:26" x14ac:dyDescent="0.2">
      <c r="A14">
        <v>13</v>
      </c>
      <c r="B14" s="39">
        <v>44</v>
      </c>
      <c r="C14">
        <v>12</v>
      </c>
      <c r="D14">
        <v>0</v>
      </c>
      <c r="E14">
        <v>0</v>
      </c>
      <c r="F14">
        <v>0</v>
      </c>
      <c r="G14">
        <v>56</v>
      </c>
    </row>
    <row r="15" spans="1:26" x14ac:dyDescent="0.2">
      <c r="A15">
        <v>14</v>
      </c>
      <c r="B15" s="39">
        <v>44</v>
      </c>
      <c r="C15">
        <v>12</v>
      </c>
      <c r="D15">
        <v>0</v>
      </c>
      <c r="E15">
        <v>0</v>
      </c>
      <c r="F15">
        <v>0</v>
      </c>
      <c r="G15">
        <v>56</v>
      </c>
    </row>
    <row r="16" spans="1:26" x14ac:dyDescent="0.2">
      <c r="A16">
        <v>15</v>
      </c>
      <c r="B16" s="39">
        <v>52</v>
      </c>
      <c r="C16">
        <v>12</v>
      </c>
      <c r="D16">
        <v>0</v>
      </c>
      <c r="E16">
        <v>0</v>
      </c>
      <c r="F16">
        <v>0</v>
      </c>
      <c r="G16">
        <v>64</v>
      </c>
    </row>
    <row r="17" spans="1:7" x14ac:dyDescent="0.2">
      <c r="A17">
        <v>16</v>
      </c>
      <c r="B17" s="39">
        <v>44</v>
      </c>
      <c r="C17">
        <v>12</v>
      </c>
      <c r="D17">
        <v>0</v>
      </c>
      <c r="E17">
        <v>0</v>
      </c>
      <c r="F17">
        <v>0</v>
      </c>
      <c r="G17">
        <v>56</v>
      </c>
    </row>
    <row r="18" spans="1:7" x14ac:dyDescent="0.2">
      <c r="A18">
        <v>17</v>
      </c>
      <c r="B18" s="39">
        <v>40</v>
      </c>
      <c r="C18">
        <v>12</v>
      </c>
      <c r="D18">
        <v>0</v>
      </c>
      <c r="E18">
        <v>0</v>
      </c>
      <c r="F18">
        <v>0</v>
      </c>
      <c r="G18">
        <v>52</v>
      </c>
    </row>
    <row r="19" spans="1:7" x14ac:dyDescent="0.2">
      <c r="A19">
        <v>18</v>
      </c>
      <c r="B19" s="39">
        <v>40</v>
      </c>
      <c r="C19">
        <v>12</v>
      </c>
      <c r="D19">
        <v>0</v>
      </c>
      <c r="E19">
        <v>0</v>
      </c>
      <c r="F19">
        <v>0</v>
      </c>
      <c r="G19">
        <v>52</v>
      </c>
    </row>
    <row r="20" spans="1:7" x14ac:dyDescent="0.2">
      <c r="A20">
        <v>19</v>
      </c>
      <c r="B20" s="39">
        <v>40</v>
      </c>
      <c r="C20">
        <v>12</v>
      </c>
      <c r="D20">
        <v>2</v>
      </c>
      <c r="E20">
        <v>0</v>
      </c>
      <c r="F20">
        <v>0</v>
      </c>
      <c r="G20">
        <v>54</v>
      </c>
    </row>
    <row r="21" spans="1:7" x14ac:dyDescent="0.2">
      <c r="A21">
        <v>20</v>
      </c>
      <c r="B21" s="39">
        <v>40</v>
      </c>
      <c r="C21">
        <v>12</v>
      </c>
      <c r="D21">
        <v>2</v>
      </c>
      <c r="E21">
        <v>0</v>
      </c>
      <c r="F21">
        <v>0</v>
      </c>
      <c r="G21">
        <v>54</v>
      </c>
    </row>
    <row r="22" spans="1:7" x14ac:dyDescent="0.2">
      <c r="A22">
        <v>21</v>
      </c>
      <c r="B22" s="39">
        <v>40</v>
      </c>
      <c r="C22">
        <v>12</v>
      </c>
      <c r="D22">
        <v>2</v>
      </c>
      <c r="E22">
        <v>0</v>
      </c>
      <c r="F22">
        <v>0</v>
      </c>
      <c r="G22">
        <v>54</v>
      </c>
    </row>
    <row r="23" spans="1:7" x14ac:dyDescent="0.2">
      <c r="A23">
        <v>22</v>
      </c>
      <c r="B23" s="39">
        <v>40</v>
      </c>
      <c r="C23">
        <v>12</v>
      </c>
      <c r="D23">
        <v>2</v>
      </c>
      <c r="E23">
        <v>0</v>
      </c>
      <c r="F23">
        <v>0</v>
      </c>
      <c r="G23">
        <v>54</v>
      </c>
    </row>
    <row r="24" spans="1:7" x14ac:dyDescent="0.2">
      <c r="A24">
        <v>23</v>
      </c>
      <c r="B24" s="39">
        <v>40</v>
      </c>
      <c r="C24">
        <v>12</v>
      </c>
      <c r="D24">
        <v>2</v>
      </c>
      <c r="E24">
        <v>0</v>
      </c>
      <c r="F24">
        <v>0</v>
      </c>
      <c r="G24">
        <v>54</v>
      </c>
    </row>
    <row r="25" spans="1:7" x14ac:dyDescent="0.2">
      <c r="A25">
        <v>24</v>
      </c>
      <c r="B25" s="39">
        <v>36</v>
      </c>
      <c r="C25">
        <v>12</v>
      </c>
      <c r="D25">
        <v>2</v>
      </c>
      <c r="E25">
        <v>0</v>
      </c>
      <c r="F25">
        <v>0</v>
      </c>
      <c r="G25">
        <v>50</v>
      </c>
    </row>
    <row r="26" spans="1:7" x14ac:dyDescent="0.2">
      <c r="A26">
        <v>25</v>
      </c>
      <c r="B26" s="39">
        <v>36</v>
      </c>
      <c r="C26">
        <v>12</v>
      </c>
      <c r="D26">
        <v>2</v>
      </c>
      <c r="E26">
        <v>0</v>
      </c>
      <c r="F26">
        <v>0</v>
      </c>
      <c r="G26">
        <v>50</v>
      </c>
    </row>
    <row r="27" spans="1:7" x14ac:dyDescent="0.2">
      <c r="A27">
        <v>26</v>
      </c>
      <c r="B27" s="39">
        <v>36</v>
      </c>
      <c r="C27">
        <v>12</v>
      </c>
      <c r="D27">
        <v>2</v>
      </c>
      <c r="E27">
        <v>0</v>
      </c>
      <c r="F27">
        <v>0</v>
      </c>
      <c r="G27">
        <v>50</v>
      </c>
    </row>
    <row r="28" spans="1:7" x14ac:dyDescent="0.2">
      <c r="A28">
        <v>27</v>
      </c>
      <c r="B28" s="39">
        <v>36</v>
      </c>
      <c r="C28">
        <v>12</v>
      </c>
      <c r="D28">
        <v>2</v>
      </c>
      <c r="E28">
        <v>0</v>
      </c>
      <c r="F28">
        <v>0</v>
      </c>
      <c r="G28">
        <v>50</v>
      </c>
    </row>
    <row r="29" spans="1:7" x14ac:dyDescent="0.2">
      <c r="A29">
        <v>28</v>
      </c>
      <c r="B29" s="39">
        <v>36</v>
      </c>
      <c r="C29">
        <v>12</v>
      </c>
      <c r="D29">
        <v>2</v>
      </c>
      <c r="E29">
        <v>0</v>
      </c>
      <c r="F29">
        <v>0</v>
      </c>
      <c r="G29">
        <v>50</v>
      </c>
    </row>
    <row r="30" spans="1:7" x14ac:dyDescent="0.2">
      <c r="A30">
        <v>29</v>
      </c>
      <c r="B30" s="39">
        <v>36</v>
      </c>
      <c r="C30">
        <v>12</v>
      </c>
      <c r="D30">
        <v>2</v>
      </c>
      <c r="E30">
        <v>0</v>
      </c>
      <c r="F30">
        <v>0</v>
      </c>
      <c r="G30">
        <v>50</v>
      </c>
    </row>
    <row r="31" spans="1:7" x14ac:dyDescent="0.2">
      <c r="A31">
        <v>30</v>
      </c>
      <c r="B31" s="39">
        <v>36</v>
      </c>
      <c r="C31">
        <v>12</v>
      </c>
      <c r="D31">
        <v>2</v>
      </c>
      <c r="E31">
        <v>0</v>
      </c>
      <c r="F31">
        <v>0</v>
      </c>
      <c r="G31">
        <v>50</v>
      </c>
    </row>
    <row r="32" spans="1:7" x14ac:dyDescent="0.2">
      <c r="A32">
        <v>31</v>
      </c>
      <c r="B32" s="39">
        <v>12</v>
      </c>
      <c r="C32">
        <v>12</v>
      </c>
      <c r="D32">
        <v>2</v>
      </c>
      <c r="E32">
        <v>0</v>
      </c>
      <c r="F32">
        <v>0</v>
      </c>
      <c r="G32">
        <v>26</v>
      </c>
    </row>
    <row r="33" spans="1:7" x14ac:dyDescent="0.2">
      <c r="A33">
        <v>32</v>
      </c>
      <c r="B33" s="39">
        <v>12</v>
      </c>
      <c r="C33">
        <v>12</v>
      </c>
      <c r="D33">
        <v>2</v>
      </c>
      <c r="E33">
        <v>0</v>
      </c>
      <c r="F33">
        <v>0</v>
      </c>
      <c r="G33">
        <v>26</v>
      </c>
    </row>
    <row r="34" spans="1:7" x14ac:dyDescent="0.2">
      <c r="A34">
        <v>33</v>
      </c>
      <c r="B34" s="39">
        <v>12</v>
      </c>
      <c r="C34">
        <v>12</v>
      </c>
      <c r="D34">
        <v>2</v>
      </c>
      <c r="E34">
        <v>0</v>
      </c>
      <c r="F34">
        <v>0</v>
      </c>
      <c r="G34">
        <v>26</v>
      </c>
    </row>
    <row r="35" spans="1:7" x14ac:dyDescent="0.2">
      <c r="A35">
        <v>34</v>
      </c>
      <c r="B35" s="39">
        <v>16</v>
      </c>
      <c r="C35">
        <v>0</v>
      </c>
      <c r="D35">
        <v>2</v>
      </c>
      <c r="E35">
        <v>3</v>
      </c>
      <c r="F35">
        <v>0</v>
      </c>
      <c r="G35">
        <v>21</v>
      </c>
    </row>
    <row r="36" spans="1:7" x14ac:dyDescent="0.2">
      <c r="A36">
        <v>35</v>
      </c>
      <c r="B36" s="39">
        <v>16</v>
      </c>
      <c r="C36">
        <v>0</v>
      </c>
      <c r="D36">
        <v>2</v>
      </c>
      <c r="E36">
        <v>3</v>
      </c>
      <c r="F36">
        <v>0</v>
      </c>
      <c r="G36">
        <v>21</v>
      </c>
    </row>
    <row r="37" spans="1:7" x14ac:dyDescent="0.2">
      <c r="A37">
        <v>36</v>
      </c>
      <c r="B37" s="39">
        <v>16</v>
      </c>
      <c r="C37">
        <v>0</v>
      </c>
      <c r="D37">
        <v>2</v>
      </c>
      <c r="E37">
        <v>4</v>
      </c>
      <c r="F37">
        <v>0</v>
      </c>
      <c r="G37">
        <v>22</v>
      </c>
    </row>
    <row r="38" spans="1:7" x14ac:dyDescent="0.2">
      <c r="A38">
        <v>37</v>
      </c>
      <c r="B38" s="39">
        <v>16</v>
      </c>
      <c r="C38">
        <v>0</v>
      </c>
      <c r="D38">
        <v>2</v>
      </c>
      <c r="E38">
        <v>4</v>
      </c>
      <c r="F38">
        <v>0</v>
      </c>
      <c r="G38">
        <v>22</v>
      </c>
    </row>
    <row r="39" spans="1:7" x14ac:dyDescent="0.2">
      <c r="A39">
        <v>38</v>
      </c>
      <c r="B39" s="39">
        <v>16</v>
      </c>
      <c r="C39">
        <v>0</v>
      </c>
      <c r="D39">
        <v>2</v>
      </c>
      <c r="E39">
        <v>5</v>
      </c>
      <c r="F39">
        <v>0</v>
      </c>
      <c r="G39">
        <v>23</v>
      </c>
    </row>
    <row r="40" spans="1:7" x14ac:dyDescent="0.2">
      <c r="A40">
        <v>39</v>
      </c>
      <c r="B40" s="39">
        <v>16</v>
      </c>
      <c r="C40">
        <v>0</v>
      </c>
      <c r="D40">
        <v>2</v>
      </c>
      <c r="E40">
        <v>5</v>
      </c>
      <c r="F40">
        <v>0</v>
      </c>
      <c r="G40">
        <v>23</v>
      </c>
    </row>
    <row r="41" spans="1:7" x14ac:dyDescent="0.2">
      <c r="A41">
        <v>40</v>
      </c>
      <c r="B41" s="39">
        <v>16</v>
      </c>
      <c r="C41">
        <v>0</v>
      </c>
      <c r="D41">
        <v>2</v>
      </c>
      <c r="E41">
        <v>5</v>
      </c>
      <c r="F41">
        <v>0</v>
      </c>
      <c r="G41">
        <v>23</v>
      </c>
    </row>
    <row r="42" spans="1:7" x14ac:dyDescent="0.2">
      <c r="A42">
        <v>41</v>
      </c>
      <c r="B42" s="39">
        <v>12</v>
      </c>
      <c r="C42">
        <v>0</v>
      </c>
      <c r="D42">
        <v>2</v>
      </c>
      <c r="E42">
        <v>5</v>
      </c>
      <c r="F42">
        <v>0</v>
      </c>
      <c r="G42">
        <v>19</v>
      </c>
    </row>
    <row r="43" spans="1:7" x14ac:dyDescent="0.2">
      <c r="A43">
        <v>42</v>
      </c>
      <c r="B43" s="39">
        <v>12</v>
      </c>
      <c r="C43">
        <v>0</v>
      </c>
      <c r="D43">
        <v>2</v>
      </c>
      <c r="E43">
        <v>5</v>
      </c>
      <c r="F43">
        <v>0</v>
      </c>
      <c r="G43">
        <v>19</v>
      </c>
    </row>
    <row r="44" spans="1:7" x14ac:dyDescent="0.2">
      <c r="A44">
        <v>43</v>
      </c>
      <c r="B44" s="39">
        <v>12</v>
      </c>
      <c r="C44">
        <v>0</v>
      </c>
      <c r="D44">
        <v>2</v>
      </c>
      <c r="E44">
        <v>5</v>
      </c>
      <c r="F44">
        <v>0</v>
      </c>
      <c r="G44">
        <v>19</v>
      </c>
    </row>
    <row r="45" spans="1:7" x14ac:dyDescent="0.2">
      <c r="A45">
        <v>44</v>
      </c>
      <c r="B45" s="39">
        <v>12</v>
      </c>
      <c r="C45">
        <v>0</v>
      </c>
      <c r="D45">
        <v>2</v>
      </c>
      <c r="E45">
        <v>5</v>
      </c>
      <c r="F45">
        <v>0</v>
      </c>
      <c r="G45">
        <v>19</v>
      </c>
    </row>
    <row r="46" spans="1:7" x14ac:dyDescent="0.2">
      <c r="A46">
        <v>45</v>
      </c>
      <c r="B46" s="39">
        <v>12</v>
      </c>
      <c r="C46">
        <v>0</v>
      </c>
      <c r="D46">
        <v>2</v>
      </c>
      <c r="E46">
        <v>5</v>
      </c>
      <c r="F46">
        <v>0</v>
      </c>
      <c r="G46">
        <v>19</v>
      </c>
    </row>
    <row r="47" spans="1:7" x14ac:dyDescent="0.2">
      <c r="A47">
        <v>46</v>
      </c>
      <c r="B47" s="39">
        <v>12</v>
      </c>
      <c r="C47">
        <v>0</v>
      </c>
      <c r="D47">
        <v>2</v>
      </c>
      <c r="E47">
        <v>5</v>
      </c>
      <c r="F47">
        <v>0</v>
      </c>
      <c r="G47">
        <v>19</v>
      </c>
    </row>
    <row r="48" spans="1:7" x14ac:dyDescent="0.2">
      <c r="A48">
        <v>47</v>
      </c>
      <c r="B48" s="39">
        <v>16</v>
      </c>
      <c r="C48">
        <v>0</v>
      </c>
      <c r="D48">
        <v>2</v>
      </c>
      <c r="E48">
        <v>6</v>
      </c>
      <c r="F48">
        <v>0</v>
      </c>
      <c r="G48">
        <v>24</v>
      </c>
    </row>
    <row r="49" spans="1:7" x14ac:dyDescent="0.2">
      <c r="A49">
        <v>48</v>
      </c>
      <c r="B49" s="39">
        <v>16</v>
      </c>
      <c r="C49">
        <v>0</v>
      </c>
      <c r="D49">
        <v>2</v>
      </c>
      <c r="E49">
        <v>6</v>
      </c>
      <c r="F49">
        <v>1</v>
      </c>
      <c r="G49">
        <v>25</v>
      </c>
    </row>
    <row r="50" spans="1:7" x14ac:dyDescent="0.2">
      <c r="A50">
        <v>49</v>
      </c>
      <c r="B50" s="39">
        <v>16</v>
      </c>
      <c r="C50">
        <v>0</v>
      </c>
      <c r="D50">
        <v>2</v>
      </c>
      <c r="E50">
        <v>6</v>
      </c>
      <c r="F50">
        <v>3</v>
      </c>
      <c r="G50">
        <v>27</v>
      </c>
    </row>
    <row r="51" spans="1:7" x14ac:dyDescent="0.2">
      <c r="A51">
        <v>50</v>
      </c>
      <c r="B51" s="39">
        <v>16</v>
      </c>
      <c r="C51">
        <v>0</v>
      </c>
      <c r="D51">
        <v>2</v>
      </c>
      <c r="E51">
        <v>6</v>
      </c>
      <c r="F51">
        <v>4</v>
      </c>
      <c r="G51">
        <v>28</v>
      </c>
    </row>
    <row r="52" spans="1:7" x14ac:dyDescent="0.2">
      <c r="A52">
        <v>51</v>
      </c>
      <c r="B52" s="39">
        <v>16</v>
      </c>
      <c r="C52">
        <v>0</v>
      </c>
      <c r="D52">
        <v>2</v>
      </c>
      <c r="E52">
        <v>6</v>
      </c>
      <c r="F52">
        <v>4</v>
      </c>
      <c r="G52">
        <v>28</v>
      </c>
    </row>
    <row r="53" spans="1:7" x14ac:dyDescent="0.2">
      <c r="A53">
        <v>52</v>
      </c>
      <c r="B53" s="39">
        <v>16</v>
      </c>
      <c r="C53">
        <v>0</v>
      </c>
      <c r="D53">
        <v>2</v>
      </c>
      <c r="E53">
        <v>6</v>
      </c>
      <c r="F53">
        <v>4</v>
      </c>
      <c r="G53">
        <v>28</v>
      </c>
    </row>
    <row r="54" spans="1:7" x14ac:dyDescent="0.2">
      <c r="A54">
        <v>53</v>
      </c>
      <c r="B54" s="39">
        <v>16</v>
      </c>
      <c r="C54">
        <v>0</v>
      </c>
      <c r="D54">
        <v>2</v>
      </c>
      <c r="E54">
        <v>6</v>
      </c>
      <c r="F54">
        <v>4</v>
      </c>
      <c r="G54">
        <v>28</v>
      </c>
    </row>
    <row r="55" spans="1:7" x14ac:dyDescent="0.2">
      <c r="A55">
        <v>54</v>
      </c>
      <c r="B55" s="39">
        <v>12</v>
      </c>
      <c r="C55">
        <v>0</v>
      </c>
      <c r="D55">
        <v>2</v>
      </c>
      <c r="E55">
        <v>6</v>
      </c>
      <c r="F55">
        <v>4</v>
      </c>
      <c r="G55">
        <v>24</v>
      </c>
    </row>
    <row r="56" spans="1:7" x14ac:dyDescent="0.2">
      <c r="A56">
        <v>55</v>
      </c>
      <c r="B56" s="39">
        <v>12</v>
      </c>
      <c r="C56">
        <v>0</v>
      </c>
      <c r="D56">
        <v>2</v>
      </c>
      <c r="E56">
        <v>6</v>
      </c>
      <c r="F56">
        <v>4</v>
      </c>
      <c r="G56">
        <v>24</v>
      </c>
    </row>
    <row r="57" spans="1:7" x14ac:dyDescent="0.2">
      <c r="A57">
        <v>56</v>
      </c>
      <c r="B57" s="39">
        <v>12</v>
      </c>
      <c r="C57">
        <v>0</v>
      </c>
      <c r="D57">
        <v>2</v>
      </c>
      <c r="E57">
        <v>7</v>
      </c>
      <c r="F57">
        <v>5</v>
      </c>
      <c r="G57">
        <v>26</v>
      </c>
    </row>
    <row r="58" spans="1:7" x14ac:dyDescent="0.2">
      <c r="A58">
        <v>57</v>
      </c>
      <c r="B58" s="39">
        <v>12</v>
      </c>
      <c r="C58">
        <v>0</v>
      </c>
      <c r="D58">
        <v>2</v>
      </c>
      <c r="E58">
        <v>7</v>
      </c>
      <c r="F58">
        <v>5</v>
      </c>
      <c r="G58">
        <v>26</v>
      </c>
    </row>
    <row r="59" spans="1:7" x14ac:dyDescent="0.2">
      <c r="A59">
        <v>58</v>
      </c>
      <c r="B59" s="39">
        <v>12</v>
      </c>
      <c r="C59">
        <v>0</v>
      </c>
      <c r="D59">
        <v>2</v>
      </c>
      <c r="E59">
        <v>7</v>
      </c>
      <c r="F59">
        <v>5</v>
      </c>
      <c r="G59">
        <v>26</v>
      </c>
    </row>
    <row r="60" spans="1:7" x14ac:dyDescent="0.2">
      <c r="A60">
        <v>59</v>
      </c>
      <c r="B60" s="39">
        <v>12</v>
      </c>
      <c r="C60">
        <v>0</v>
      </c>
      <c r="D60">
        <v>2</v>
      </c>
      <c r="E60">
        <v>7</v>
      </c>
      <c r="F60">
        <v>5</v>
      </c>
      <c r="G60">
        <v>26</v>
      </c>
    </row>
    <row r="61" spans="1:7" x14ac:dyDescent="0.2">
      <c r="A61">
        <v>60</v>
      </c>
      <c r="B61" s="39">
        <v>16</v>
      </c>
      <c r="C61">
        <v>0</v>
      </c>
      <c r="D61">
        <v>2</v>
      </c>
      <c r="E61">
        <v>7</v>
      </c>
      <c r="F61">
        <v>5</v>
      </c>
      <c r="G61">
        <v>30</v>
      </c>
    </row>
    <row r="62" spans="1:7" x14ac:dyDescent="0.2">
      <c r="A62">
        <v>61</v>
      </c>
      <c r="B62" s="39">
        <v>16</v>
      </c>
      <c r="C62">
        <v>0</v>
      </c>
      <c r="D62">
        <v>2</v>
      </c>
      <c r="E62">
        <v>7</v>
      </c>
      <c r="F62">
        <v>5</v>
      </c>
      <c r="G62">
        <v>30</v>
      </c>
    </row>
    <row r="63" spans="1:7" x14ac:dyDescent="0.2">
      <c r="A63">
        <v>62</v>
      </c>
      <c r="B63" s="39">
        <v>16</v>
      </c>
      <c r="C63">
        <v>0</v>
      </c>
      <c r="D63">
        <v>2</v>
      </c>
      <c r="E63">
        <v>7</v>
      </c>
      <c r="F63">
        <v>5</v>
      </c>
      <c r="G63">
        <v>30</v>
      </c>
    </row>
    <row r="64" spans="1:7" x14ac:dyDescent="0.2">
      <c r="A64">
        <v>63</v>
      </c>
      <c r="B64" s="39">
        <v>16</v>
      </c>
      <c r="C64">
        <v>0</v>
      </c>
      <c r="D64">
        <v>2</v>
      </c>
      <c r="E64">
        <v>7</v>
      </c>
      <c r="F64">
        <v>5</v>
      </c>
      <c r="G64">
        <v>30</v>
      </c>
    </row>
    <row r="65" spans="1:7" x14ac:dyDescent="0.2">
      <c r="A65">
        <v>64</v>
      </c>
      <c r="B65" s="39">
        <v>16</v>
      </c>
      <c r="C65">
        <v>0</v>
      </c>
      <c r="D65">
        <v>2</v>
      </c>
      <c r="E65">
        <v>7</v>
      </c>
      <c r="F65">
        <v>5</v>
      </c>
      <c r="G65">
        <v>30</v>
      </c>
    </row>
    <row r="66" spans="1:7" x14ac:dyDescent="0.2">
      <c r="A66">
        <v>65</v>
      </c>
      <c r="B66" s="39">
        <v>16</v>
      </c>
      <c r="C66">
        <v>0</v>
      </c>
      <c r="D66">
        <v>2</v>
      </c>
      <c r="E66">
        <v>7</v>
      </c>
      <c r="F66">
        <v>5</v>
      </c>
      <c r="G66">
        <v>30</v>
      </c>
    </row>
    <row r="67" spans="1:7" x14ac:dyDescent="0.2">
      <c r="A67">
        <v>66</v>
      </c>
      <c r="B67" s="39">
        <v>16</v>
      </c>
      <c r="C67">
        <v>0</v>
      </c>
      <c r="D67">
        <v>2</v>
      </c>
      <c r="E67">
        <v>7</v>
      </c>
      <c r="F67">
        <v>5</v>
      </c>
      <c r="G67">
        <v>30</v>
      </c>
    </row>
    <row r="68" spans="1:7" x14ac:dyDescent="0.2">
      <c r="A68">
        <v>67</v>
      </c>
      <c r="B68" s="39">
        <v>12</v>
      </c>
      <c r="C68">
        <v>0</v>
      </c>
      <c r="D68">
        <v>2</v>
      </c>
      <c r="E68">
        <v>7</v>
      </c>
      <c r="F68">
        <v>5</v>
      </c>
      <c r="G68">
        <v>26</v>
      </c>
    </row>
    <row r="69" spans="1:7" x14ac:dyDescent="0.2">
      <c r="A69">
        <v>68</v>
      </c>
      <c r="B69" s="39">
        <v>12</v>
      </c>
      <c r="C69">
        <v>0</v>
      </c>
      <c r="D69">
        <v>2</v>
      </c>
      <c r="E69">
        <v>7</v>
      </c>
      <c r="F69">
        <v>5</v>
      </c>
      <c r="G69">
        <v>26</v>
      </c>
    </row>
    <row r="70" spans="1:7" x14ac:dyDescent="0.2">
      <c r="A70">
        <v>69</v>
      </c>
      <c r="B70" s="39">
        <v>12</v>
      </c>
      <c r="C70">
        <v>0</v>
      </c>
      <c r="D70">
        <v>2</v>
      </c>
      <c r="E70">
        <v>7</v>
      </c>
      <c r="F70">
        <v>5</v>
      </c>
      <c r="G70">
        <v>26</v>
      </c>
    </row>
    <row r="71" spans="1:7" x14ac:dyDescent="0.2">
      <c r="A71">
        <v>70</v>
      </c>
      <c r="B71" s="39">
        <v>12</v>
      </c>
      <c r="C71">
        <v>0</v>
      </c>
      <c r="D71">
        <v>2</v>
      </c>
      <c r="E71">
        <v>7</v>
      </c>
      <c r="F71">
        <v>5</v>
      </c>
      <c r="G71">
        <v>26</v>
      </c>
    </row>
    <row r="72" spans="1:7" x14ac:dyDescent="0.2">
      <c r="A72">
        <v>71</v>
      </c>
      <c r="B72" s="39">
        <v>12</v>
      </c>
      <c r="C72">
        <v>0</v>
      </c>
      <c r="D72">
        <v>2</v>
      </c>
      <c r="E72">
        <v>7</v>
      </c>
      <c r="F72">
        <v>5</v>
      </c>
      <c r="G72">
        <v>26</v>
      </c>
    </row>
    <row r="73" spans="1:7" x14ac:dyDescent="0.2">
      <c r="A73">
        <v>72</v>
      </c>
      <c r="B73" s="39">
        <v>12</v>
      </c>
      <c r="C73">
        <v>0</v>
      </c>
      <c r="D73">
        <v>2</v>
      </c>
      <c r="E73">
        <v>7</v>
      </c>
      <c r="F73">
        <v>5</v>
      </c>
      <c r="G73">
        <v>26</v>
      </c>
    </row>
    <row r="74" spans="1:7" x14ac:dyDescent="0.2">
      <c r="A74">
        <v>73</v>
      </c>
      <c r="B74" s="39">
        <v>16</v>
      </c>
      <c r="C74">
        <v>0</v>
      </c>
      <c r="D74">
        <v>2</v>
      </c>
      <c r="E74">
        <v>7</v>
      </c>
      <c r="F74">
        <v>5</v>
      </c>
      <c r="G74">
        <v>30</v>
      </c>
    </row>
    <row r="75" spans="1:7" x14ac:dyDescent="0.2">
      <c r="A75">
        <v>74</v>
      </c>
      <c r="B75" s="39">
        <v>16</v>
      </c>
      <c r="C75">
        <v>0</v>
      </c>
      <c r="D75">
        <v>2</v>
      </c>
      <c r="E75">
        <v>7</v>
      </c>
      <c r="F75">
        <v>5</v>
      </c>
      <c r="G75">
        <v>30</v>
      </c>
    </row>
    <row r="76" spans="1:7" x14ac:dyDescent="0.2">
      <c r="A76">
        <v>75</v>
      </c>
      <c r="B76" s="39">
        <v>16</v>
      </c>
      <c r="C76">
        <v>0</v>
      </c>
      <c r="D76">
        <v>2</v>
      </c>
      <c r="E76">
        <v>7</v>
      </c>
      <c r="F76">
        <v>5</v>
      </c>
      <c r="G76">
        <v>30</v>
      </c>
    </row>
    <row r="77" spans="1:7" x14ac:dyDescent="0.2">
      <c r="A77">
        <v>76</v>
      </c>
      <c r="B77" s="39">
        <v>16</v>
      </c>
      <c r="C77">
        <v>0</v>
      </c>
      <c r="D77">
        <v>2</v>
      </c>
      <c r="E77">
        <v>7</v>
      </c>
      <c r="F77">
        <v>5</v>
      </c>
      <c r="G77">
        <v>30</v>
      </c>
    </row>
    <row r="78" spans="1:7" x14ac:dyDescent="0.2">
      <c r="A78">
        <v>77</v>
      </c>
      <c r="B78" s="39">
        <v>16</v>
      </c>
      <c r="C78">
        <v>0</v>
      </c>
      <c r="D78">
        <v>2</v>
      </c>
      <c r="E78">
        <v>7</v>
      </c>
      <c r="F78">
        <v>5</v>
      </c>
      <c r="G78">
        <v>30</v>
      </c>
    </row>
    <row r="79" spans="1:7" x14ac:dyDescent="0.2">
      <c r="A79">
        <v>78</v>
      </c>
      <c r="B79" s="39">
        <v>16</v>
      </c>
      <c r="C79">
        <v>0</v>
      </c>
      <c r="D79">
        <v>2</v>
      </c>
      <c r="E79">
        <v>7</v>
      </c>
      <c r="F79">
        <v>5</v>
      </c>
      <c r="G79">
        <v>30</v>
      </c>
    </row>
    <row r="80" spans="1:7" x14ac:dyDescent="0.2">
      <c r="A80">
        <v>79</v>
      </c>
      <c r="B80" s="39">
        <v>16</v>
      </c>
      <c r="C80">
        <v>0</v>
      </c>
      <c r="D80">
        <v>2</v>
      </c>
      <c r="E80">
        <v>7</v>
      </c>
      <c r="F80">
        <v>5</v>
      </c>
      <c r="G80">
        <v>30</v>
      </c>
    </row>
    <row r="81" spans="1:7" x14ac:dyDescent="0.2">
      <c r="A81">
        <v>80</v>
      </c>
      <c r="B81" s="39">
        <v>12</v>
      </c>
      <c r="C81">
        <v>0</v>
      </c>
      <c r="D81">
        <v>2</v>
      </c>
      <c r="E81">
        <v>8</v>
      </c>
      <c r="F81">
        <v>5</v>
      </c>
      <c r="G81">
        <v>27</v>
      </c>
    </row>
    <row r="82" spans="1:7" x14ac:dyDescent="0.2">
      <c r="A82">
        <v>81</v>
      </c>
      <c r="B82" s="39">
        <v>12</v>
      </c>
      <c r="C82">
        <v>0</v>
      </c>
      <c r="D82">
        <v>2</v>
      </c>
      <c r="E82">
        <v>8</v>
      </c>
      <c r="F82">
        <v>5</v>
      </c>
      <c r="G82">
        <v>27</v>
      </c>
    </row>
    <row r="83" spans="1:7" x14ac:dyDescent="0.2">
      <c r="A83">
        <v>82</v>
      </c>
      <c r="B83" s="39">
        <v>12</v>
      </c>
      <c r="C83">
        <v>0</v>
      </c>
      <c r="D83">
        <v>2</v>
      </c>
      <c r="E83">
        <v>8</v>
      </c>
      <c r="F83">
        <v>5</v>
      </c>
      <c r="G83">
        <v>27</v>
      </c>
    </row>
    <row r="84" spans="1:7" x14ac:dyDescent="0.2">
      <c r="A84">
        <v>83</v>
      </c>
      <c r="B84" s="39">
        <v>12</v>
      </c>
      <c r="C84">
        <v>0</v>
      </c>
      <c r="D84">
        <v>2</v>
      </c>
      <c r="E84">
        <v>8</v>
      </c>
      <c r="F84">
        <v>5</v>
      </c>
      <c r="G84">
        <v>27</v>
      </c>
    </row>
    <row r="85" spans="1:7" x14ac:dyDescent="0.2">
      <c r="A85">
        <v>84</v>
      </c>
      <c r="B85" s="39">
        <v>12</v>
      </c>
      <c r="C85">
        <v>0</v>
      </c>
      <c r="D85">
        <v>2</v>
      </c>
      <c r="E85">
        <v>8</v>
      </c>
      <c r="F85">
        <v>5</v>
      </c>
      <c r="G85">
        <v>27</v>
      </c>
    </row>
    <row r="86" spans="1:7" x14ac:dyDescent="0.2">
      <c r="A86">
        <v>85</v>
      </c>
      <c r="B86" s="39">
        <v>12</v>
      </c>
      <c r="C86">
        <v>0</v>
      </c>
      <c r="D86">
        <v>2</v>
      </c>
      <c r="E86">
        <v>8</v>
      </c>
      <c r="F86">
        <v>5</v>
      </c>
      <c r="G86">
        <v>27</v>
      </c>
    </row>
    <row r="87" spans="1:7" x14ac:dyDescent="0.2">
      <c r="A87">
        <v>86</v>
      </c>
      <c r="B87" s="39">
        <v>16</v>
      </c>
      <c r="C87">
        <v>0</v>
      </c>
      <c r="D87">
        <v>2</v>
      </c>
      <c r="E87">
        <v>8</v>
      </c>
      <c r="F87">
        <v>5</v>
      </c>
      <c r="G87">
        <v>31</v>
      </c>
    </row>
    <row r="88" spans="1:7" x14ac:dyDescent="0.2">
      <c r="A88">
        <v>87</v>
      </c>
      <c r="B88" s="39">
        <v>16</v>
      </c>
      <c r="C88">
        <v>0</v>
      </c>
      <c r="D88">
        <v>2</v>
      </c>
      <c r="E88">
        <v>8</v>
      </c>
      <c r="F88">
        <v>5</v>
      </c>
      <c r="G88">
        <v>31</v>
      </c>
    </row>
    <row r="89" spans="1:7" x14ac:dyDescent="0.2">
      <c r="A89">
        <v>88</v>
      </c>
      <c r="B89" s="39">
        <v>16</v>
      </c>
      <c r="C89">
        <v>0</v>
      </c>
      <c r="D89">
        <v>2</v>
      </c>
      <c r="E89">
        <v>8</v>
      </c>
      <c r="F89">
        <v>5</v>
      </c>
      <c r="G89">
        <v>31</v>
      </c>
    </row>
    <row r="90" spans="1:7" x14ac:dyDescent="0.2">
      <c r="A90">
        <v>89</v>
      </c>
      <c r="B90" s="39">
        <v>16</v>
      </c>
      <c r="C90">
        <v>0</v>
      </c>
      <c r="D90">
        <v>2</v>
      </c>
      <c r="E90">
        <v>8</v>
      </c>
      <c r="F90">
        <v>5</v>
      </c>
      <c r="G90">
        <v>31</v>
      </c>
    </row>
    <row r="91" spans="1:7" x14ac:dyDescent="0.2">
      <c r="A91">
        <v>90</v>
      </c>
      <c r="B91" s="39">
        <v>16</v>
      </c>
      <c r="C91">
        <v>0</v>
      </c>
      <c r="D91">
        <v>2</v>
      </c>
      <c r="E91">
        <v>8</v>
      </c>
      <c r="F91">
        <v>5</v>
      </c>
      <c r="G91">
        <v>31</v>
      </c>
    </row>
    <row r="92" spans="1:7" x14ac:dyDescent="0.2">
      <c r="A92">
        <v>91</v>
      </c>
      <c r="B92" s="39">
        <v>16</v>
      </c>
      <c r="C92">
        <v>0</v>
      </c>
      <c r="D92">
        <v>2</v>
      </c>
      <c r="E92">
        <v>8</v>
      </c>
      <c r="F92">
        <v>5</v>
      </c>
      <c r="G92">
        <v>31</v>
      </c>
    </row>
    <row r="93" spans="1:7" x14ac:dyDescent="0.2">
      <c r="A93">
        <v>92</v>
      </c>
      <c r="B93" s="39">
        <v>16</v>
      </c>
      <c r="C93">
        <v>0</v>
      </c>
      <c r="D93">
        <v>2</v>
      </c>
      <c r="E93">
        <v>8</v>
      </c>
      <c r="F93">
        <v>5</v>
      </c>
      <c r="G93">
        <v>31</v>
      </c>
    </row>
    <row r="94" spans="1:7" x14ac:dyDescent="0.2">
      <c r="A94">
        <v>93</v>
      </c>
      <c r="B94" s="39">
        <v>12</v>
      </c>
      <c r="C94">
        <v>0</v>
      </c>
      <c r="D94">
        <v>2</v>
      </c>
      <c r="E94">
        <v>8</v>
      </c>
      <c r="F94">
        <v>5</v>
      </c>
      <c r="G94">
        <v>27</v>
      </c>
    </row>
    <row r="95" spans="1:7" x14ac:dyDescent="0.2">
      <c r="A95">
        <v>94</v>
      </c>
      <c r="B95" s="39">
        <v>12</v>
      </c>
      <c r="C95">
        <v>0</v>
      </c>
      <c r="D95">
        <v>2</v>
      </c>
      <c r="E95">
        <v>8</v>
      </c>
      <c r="F95">
        <v>5</v>
      </c>
      <c r="G95">
        <v>27</v>
      </c>
    </row>
    <row r="96" spans="1:7" x14ac:dyDescent="0.2">
      <c r="A96">
        <v>95</v>
      </c>
      <c r="B96" s="39">
        <v>12</v>
      </c>
      <c r="C96">
        <v>0</v>
      </c>
      <c r="D96">
        <v>2</v>
      </c>
      <c r="E96">
        <v>8</v>
      </c>
      <c r="F96">
        <v>5</v>
      </c>
      <c r="G96">
        <v>27</v>
      </c>
    </row>
    <row r="97" spans="1:7" x14ac:dyDescent="0.2">
      <c r="A97">
        <v>96</v>
      </c>
      <c r="B97" s="39">
        <v>12</v>
      </c>
      <c r="C97">
        <v>0</v>
      </c>
      <c r="D97">
        <v>2</v>
      </c>
      <c r="E97">
        <v>8</v>
      </c>
      <c r="F97">
        <v>5</v>
      </c>
      <c r="G97">
        <v>27</v>
      </c>
    </row>
    <row r="98" spans="1:7" x14ac:dyDescent="0.2">
      <c r="A98">
        <v>97</v>
      </c>
      <c r="B98" s="39">
        <v>12</v>
      </c>
      <c r="C98">
        <v>0</v>
      </c>
      <c r="D98">
        <v>2</v>
      </c>
      <c r="E98">
        <v>8</v>
      </c>
      <c r="F98">
        <v>5</v>
      </c>
      <c r="G98">
        <v>27</v>
      </c>
    </row>
    <row r="99" spans="1:7" x14ac:dyDescent="0.2">
      <c r="A99">
        <v>98</v>
      </c>
      <c r="B99" s="39">
        <v>12</v>
      </c>
      <c r="C99">
        <v>0</v>
      </c>
      <c r="D99">
        <v>2</v>
      </c>
      <c r="E99">
        <v>8</v>
      </c>
      <c r="F99">
        <v>5</v>
      </c>
      <c r="G99">
        <v>27</v>
      </c>
    </row>
    <row r="100" spans="1:7" x14ac:dyDescent="0.2">
      <c r="A100">
        <v>99</v>
      </c>
      <c r="B100" s="39">
        <v>12</v>
      </c>
      <c r="C100">
        <v>0</v>
      </c>
      <c r="D100">
        <v>2</v>
      </c>
      <c r="E100">
        <v>8</v>
      </c>
      <c r="F100">
        <v>5</v>
      </c>
      <c r="G100">
        <v>27</v>
      </c>
    </row>
    <row r="101" spans="1:7" x14ac:dyDescent="0.2">
      <c r="A101">
        <v>100</v>
      </c>
      <c r="B101" s="39">
        <v>12</v>
      </c>
      <c r="C101">
        <v>0</v>
      </c>
      <c r="D101">
        <v>2</v>
      </c>
      <c r="E101">
        <v>8</v>
      </c>
      <c r="F101">
        <v>5</v>
      </c>
      <c r="G101">
        <v>27</v>
      </c>
    </row>
    <row r="102" spans="1:7" x14ac:dyDescent="0.2">
      <c r="A102">
        <v>101</v>
      </c>
      <c r="B102" s="39">
        <v>12</v>
      </c>
      <c r="C102">
        <v>1</v>
      </c>
      <c r="D102">
        <v>2</v>
      </c>
      <c r="E102">
        <v>8</v>
      </c>
      <c r="F102">
        <v>5</v>
      </c>
      <c r="G102">
        <v>28</v>
      </c>
    </row>
    <row r="103" spans="1:7" x14ac:dyDescent="0.2">
      <c r="A103">
        <v>102</v>
      </c>
      <c r="B103" s="39">
        <v>12</v>
      </c>
      <c r="C103">
        <v>1</v>
      </c>
      <c r="D103">
        <v>2</v>
      </c>
      <c r="E103">
        <v>8</v>
      </c>
      <c r="F103">
        <v>5</v>
      </c>
      <c r="G103">
        <v>28</v>
      </c>
    </row>
    <row r="104" spans="1:7" x14ac:dyDescent="0.2">
      <c r="A104">
        <v>103</v>
      </c>
      <c r="B104" s="39">
        <v>12</v>
      </c>
      <c r="C104">
        <v>1</v>
      </c>
      <c r="D104">
        <v>2</v>
      </c>
      <c r="E104">
        <v>8</v>
      </c>
      <c r="F104">
        <v>5</v>
      </c>
      <c r="G104">
        <v>28</v>
      </c>
    </row>
    <row r="105" spans="1:7" x14ac:dyDescent="0.2">
      <c r="A105">
        <v>104</v>
      </c>
      <c r="B105" s="39">
        <v>12</v>
      </c>
      <c r="C105">
        <v>2</v>
      </c>
      <c r="D105">
        <v>2</v>
      </c>
      <c r="E105">
        <v>8</v>
      </c>
      <c r="F105">
        <v>5</v>
      </c>
      <c r="G105">
        <v>29</v>
      </c>
    </row>
    <row r="106" spans="1:7" x14ac:dyDescent="0.2">
      <c r="A106">
        <v>105</v>
      </c>
      <c r="B106" s="39">
        <v>12</v>
      </c>
      <c r="C106">
        <v>2</v>
      </c>
      <c r="D106">
        <v>2</v>
      </c>
      <c r="E106">
        <v>8</v>
      </c>
      <c r="F106">
        <v>6</v>
      </c>
      <c r="G106">
        <v>30</v>
      </c>
    </row>
    <row r="107" spans="1:7" x14ac:dyDescent="0.2">
      <c r="A107">
        <v>106</v>
      </c>
      <c r="B107" s="39">
        <v>8</v>
      </c>
      <c r="C107">
        <v>2</v>
      </c>
      <c r="D107">
        <v>2</v>
      </c>
      <c r="E107">
        <v>8</v>
      </c>
      <c r="F107">
        <v>6</v>
      </c>
      <c r="G107">
        <v>26</v>
      </c>
    </row>
    <row r="108" spans="1:7" x14ac:dyDescent="0.2">
      <c r="A108">
        <v>107</v>
      </c>
      <c r="B108">
        <v>0</v>
      </c>
      <c r="C108">
        <v>2</v>
      </c>
      <c r="D108">
        <v>2</v>
      </c>
      <c r="E108">
        <v>8</v>
      </c>
      <c r="F108">
        <v>6</v>
      </c>
      <c r="G108">
        <v>18</v>
      </c>
    </row>
    <row r="109" spans="1:7" x14ac:dyDescent="0.2">
      <c r="A109">
        <v>108</v>
      </c>
      <c r="B109">
        <v>0</v>
      </c>
      <c r="C109">
        <v>4</v>
      </c>
      <c r="D109">
        <v>2</v>
      </c>
      <c r="E109">
        <v>8</v>
      </c>
      <c r="F109">
        <v>6</v>
      </c>
      <c r="G109">
        <v>20</v>
      </c>
    </row>
    <row r="110" spans="1:7" x14ac:dyDescent="0.2">
      <c r="A110">
        <v>109</v>
      </c>
      <c r="B110">
        <v>0</v>
      </c>
      <c r="C110">
        <v>5</v>
      </c>
      <c r="D110">
        <v>2</v>
      </c>
      <c r="E110">
        <v>8</v>
      </c>
      <c r="F110">
        <v>6</v>
      </c>
      <c r="G110">
        <v>21</v>
      </c>
    </row>
    <row r="111" spans="1:7" x14ac:dyDescent="0.2">
      <c r="A111">
        <v>110</v>
      </c>
      <c r="B111">
        <v>0</v>
      </c>
      <c r="C111">
        <v>5</v>
      </c>
      <c r="D111">
        <v>2</v>
      </c>
      <c r="E111">
        <v>8</v>
      </c>
      <c r="F111">
        <v>6</v>
      </c>
      <c r="G111">
        <v>21</v>
      </c>
    </row>
    <row r="112" spans="1:7" x14ac:dyDescent="0.2">
      <c r="A112">
        <v>111</v>
      </c>
      <c r="B112">
        <v>0</v>
      </c>
      <c r="C112">
        <v>5</v>
      </c>
      <c r="D112">
        <v>2</v>
      </c>
      <c r="E112">
        <v>8</v>
      </c>
      <c r="F112">
        <v>6</v>
      </c>
      <c r="G112">
        <v>21</v>
      </c>
    </row>
    <row r="113" spans="1:7" x14ac:dyDescent="0.2">
      <c r="A113">
        <v>112</v>
      </c>
      <c r="B113">
        <v>0</v>
      </c>
      <c r="C113">
        <v>5</v>
      </c>
      <c r="D113">
        <v>2</v>
      </c>
      <c r="E113">
        <v>8</v>
      </c>
      <c r="F113">
        <v>6</v>
      </c>
      <c r="G113">
        <v>21</v>
      </c>
    </row>
    <row r="114" spans="1:7" x14ac:dyDescent="0.2">
      <c r="A114">
        <v>113</v>
      </c>
      <c r="B114">
        <v>0</v>
      </c>
      <c r="C114">
        <v>5</v>
      </c>
      <c r="D114">
        <v>2</v>
      </c>
      <c r="E114">
        <v>8</v>
      </c>
      <c r="F114">
        <v>6</v>
      </c>
      <c r="G114">
        <v>21</v>
      </c>
    </row>
    <row r="115" spans="1:7" x14ac:dyDescent="0.2">
      <c r="A115">
        <v>114</v>
      </c>
      <c r="B115">
        <v>0</v>
      </c>
      <c r="C115">
        <v>5</v>
      </c>
      <c r="D115">
        <v>2</v>
      </c>
      <c r="E115">
        <v>8</v>
      </c>
      <c r="F115">
        <v>6</v>
      </c>
      <c r="G115">
        <v>21</v>
      </c>
    </row>
    <row r="116" spans="1:7" x14ac:dyDescent="0.2">
      <c r="A116">
        <v>115</v>
      </c>
      <c r="B116">
        <v>0</v>
      </c>
      <c r="C116">
        <v>5</v>
      </c>
      <c r="D116">
        <v>2</v>
      </c>
      <c r="E116">
        <v>8</v>
      </c>
      <c r="F116">
        <v>6</v>
      </c>
      <c r="G116">
        <v>21</v>
      </c>
    </row>
    <row r="117" spans="1:7" x14ac:dyDescent="0.2">
      <c r="A117">
        <v>116</v>
      </c>
      <c r="B117">
        <v>0</v>
      </c>
      <c r="C117">
        <v>5</v>
      </c>
      <c r="D117">
        <v>2</v>
      </c>
      <c r="E117">
        <v>8</v>
      </c>
      <c r="F117">
        <v>6</v>
      </c>
      <c r="G117">
        <v>21</v>
      </c>
    </row>
    <row r="118" spans="1:7" x14ac:dyDescent="0.2">
      <c r="A118">
        <v>117</v>
      </c>
      <c r="B118">
        <v>0</v>
      </c>
      <c r="C118">
        <v>5</v>
      </c>
      <c r="D118">
        <v>2</v>
      </c>
      <c r="E118">
        <v>8</v>
      </c>
      <c r="F118">
        <v>6</v>
      </c>
      <c r="G118">
        <v>21</v>
      </c>
    </row>
    <row r="119" spans="1:7" x14ac:dyDescent="0.2">
      <c r="A119">
        <v>118</v>
      </c>
      <c r="B119">
        <v>0</v>
      </c>
      <c r="C119">
        <v>5</v>
      </c>
      <c r="D119">
        <v>2</v>
      </c>
      <c r="E119">
        <v>8</v>
      </c>
      <c r="F119">
        <v>6</v>
      </c>
      <c r="G119">
        <v>21</v>
      </c>
    </row>
    <row r="120" spans="1:7" x14ac:dyDescent="0.2">
      <c r="A120">
        <v>119</v>
      </c>
      <c r="B120">
        <v>0</v>
      </c>
      <c r="C120">
        <v>5</v>
      </c>
      <c r="D120">
        <v>2</v>
      </c>
      <c r="E120">
        <v>8</v>
      </c>
      <c r="F120">
        <v>6</v>
      </c>
      <c r="G120">
        <v>21</v>
      </c>
    </row>
    <row r="121" spans="1:7" x14ac:dyDescent="0.2">
      <c r="A121">
        <v>120</v>
      </c>
      <c r="B121">
        <v>0</v>
      </c>
      <c r="C121">
        <v>5</v>
      </c>
      <c r="D121">
        <v>2</v>
      </c>
      <c r="E121">
        <v>8</v>
      </c>
      <c r="F121">
        <v>6</v>
      </c>
      <c r="G121">
        <v>21</v>
      </c>
    </row>
    <row r="122" spans="1:7" x14ac:dyDescent="0.2">
      <c r="A122">
        <v>121</v>
      </c>
      <c r="B122">
        <v>0</v>
      </c>
      <c r="C122">
        <v>5</v>
      </c>
      <c r="D122">
        <v>2</v>
      </c>
      <c r="E122">
        <v>8</v>
      </c>
      <c r="F122">
        <v>6</v>
      </c>
      <c r="G122">
        <v>21</v>
      </c>
    </row>
    <row r="123" spans="1:7" x14ac:dyDescent="0.2">
      <c r="A123">
        <v>122</v>
      </c>
      <c r="B123">
        <v>0</v>
      </c>
      <c r="C123">
        <v>5</v>
      </c>
      <c r="D123">
        <v>2</v>
      </c>
      <c r="E123">
        <v>8</v>
      </c>
      <c r="F123">
        <v>6</v>
      </c>
      <c r="G123">
        <v>21</v>
      </c>
    </row>
    <row r="124" spans="1:7" x14ac:dyDescent="0.2">
      <c r="A124">
        <v>123</v>
      </c>
      <c r="B124">
        <v>0</v>
      </c>
      <c r="C124">
        <v>5</v>
      </c>
      <c r="D124">
        <v>2</v>
      </c>
      <c r="E124">
        <v>8</v>
      </c>
      <c r="F124">
        <v>6</v>
      </c>
      <c r="G124">
        <v>21</v>
      </c>
    </row>
    <row r="125" spans="1:7" x14ac:dyDescent="0.2">
      <c r="A125">
        <v>124</v>
      </c>
      <c r="B125">
        <v>0</v>
      </c>
      <c r="C125">
        <v>5</v>
      </c>
      <c r="D125">
        <v>2</v>
      </c>
      <c r="E125">
        <v>8</v>
      </c>
      <c r="F125">
        <v>6</v>
      </c>
      <c r="G125">
        <v>21</v>
      </c>
    </row>
    <row r="126" spans="1:7" x14ac:dyDescent="0.2">
      <c r="A126">
        <v>125</v>
      </c>
      <c r="B126">
        <v>0</v>
      </c>
      <c r="C126">
        <v>5</v>
      </c>
      <c r="D126">
        <v>2</v>
      </c>
      <c r="E126">
        <v>8</v>
      </c>
      <c r="F126">
        <v>6</v>
      </c>
      <c r="G126">
        <v>21</v>
      </c>
    </row>
    <row r="127" spans="1:7" x14ac:dyDescent="0.2">
      <c r="A127">
        <v>126</v>
      </c>
      <c r="B127">
        <v>0</v>
      </c>
      <c r="C127">
        <v>7</v>
      </c>
      <c r="D127">
        <v>2</v>
      </c>
      <c r="E127">
        <v>8</v>
      </c>
      <c r="F127">
        <v>6</v>
      </c>
      <c r="G127">
        <v>23</v>
      </c>
    </row>
    <row r="128" spans="1:7" x14ac:dyDescent="0.2">
      <c r="A128">
        <v>127</v>
      </c>
      <c r="B128">
        <v>0</v>
      </c>
      <c r="C128">
        <v>7</v>
      </c>
      <c r="D128">
        <v>2</v>
      </c>
      <c r="E128">
        <v>8</v>
      </c>
      <c r="F128">
        <v>6</v>
      </c>
      <c r="G128">
        <v>23</v>
      </c>
    </row>
    <row r="129" spans="1:7" x14ac:dyDescent="0.2">
      <c r="A129">
        <v>128</v>
      </c>
      <c r="B129">
        <v>0</v>
      </c>
      <c r="C129">
        <v>7</v>
      </c>
      <c r="D129">
        <v>2</v>
      </c>
      <c r="E129">
        <v>8</v>
      </c>
      <c r="F129">
        <v>6</v>
      </c>
      <c r="G129">
        <v>23</v>
      </c>
    </row>
    <row r="130" spans="1:7" x14ac:dyDescent="0.2">
      <c r="A130">
        <v>129</v>
      </c>
      <c r="B130">
        <v>0</v>
      </c>
      <c r="C130">
        <v>7</v>
      </c>
      <c r="D130">
        <v>2</v>
      </c>
      <c r="E130">
        <v>8</v>
      </c>
      <c r="F130">
        <v>6</v>
      </c>
      <c r="G130">
        <v>23</v>
      </c>
    </row>
    <row r="131" spans="1:7" x14ac:dyDescent="0.2">
      <c r="A131">
        <v>130</v>
      </c>
      <c r="B131">
        <v>0</v>
      </c>
      <c r="C131">
        <v>7</v>
      </c>
      <c r="D131">
        <v>2</v>
      </c>
      <c r="E131">
        <v>8</v>
      </c>
      <c r="F131">
        <v>6</v>
      </c>
      <c r="G131">
        <v>23</v>
      </c>
    </row>
    <row r="132" spans="1:7" x14ac:dyDescent="0.2">
      <c r="A132">
        <v>131</v>
      </c>
      <c r="B132">
        <v>0</v>
      </c>
      <c r="C132">
        <v>7</v>
      </c>
      <c r="D132">
        <v>2</v>
      </c>
      <c r="E132">
        <v>8</v>
      </c>
      <c r="F132">
        <v>6</v>
      </c>
      <c r="G132">
        <v>23</v>
      </c>
    </row>
    <row r="133" spans="1:7" x14ac:dyDescent="0.2">
      <c r="A133">
        <v>132</v>
      </c>
      <c r="B133">
        <v>0</v>
      </c>
      <c r="C133">
        <v>7</v>
      </c>
      <c r="D133">
        <v>2</v>
      </c>
      <c r="E133">
        <v>8</v>
      </c>
      <c r="F133">
        <v>6</v>
      </c>
      <c r="G133">
        <v>23</v>
      </c>
    </row>
    <row r="134" spans="1:7" x14ac:dyDescent="0.2">
      <c r="A134">
        <v>133</v>
      </c>
      <c r="B134">
        <v>0</v>
      </c>
      <c r="C134">
        <v>7</v>
      </c>
      <c r="D134">
        <v>2</v>
      </c>
      <c r="E134">
        <v>8</v>
      </c>
      <c r="F134">
        <v>6</v>
      </c>
      <c r="G134">
        <v>23</v>
      </c>
    </row>
    <row r="135" spans="1:7" x14ac:dyDescent="0.2">
      <c r="A135">
        <v>134</v>
      </c>
      <c r="B135">
        <v>0</v>
      </c>
      <c r="C135">
        <v>7</v>
      </c>
      <c r="D135">
        <v>2</v>
      </c>
      <c r="E135">
        <v>8</v>
      </c>
      <c r="F135">
        <v>6</v>
      </c>
      <c r="G135">
        <v>23</v>
      </c>
    </row>
    <row r="136" spans="1:7" x14ac:dyDescent="0.2">
      <c r="A136">
        <v>135</v>
      </c>
      <c r="B136">
        <v>0</v>
      </c>
      <c r="C136">
        <v>7</v>
      </c>
      <c r="D136">
        <v>2</v>
      </c>
      <c r="E136">
        <v>8</v>
      </c>
      <c r="F136">
        <v>6</v>
      </c>
      <c r="G136">
        <v>23</v>
      </c>
    </row>
    <row r="137" spans="1:7" x14ac:dyDescent="0.2">
      <c r="A137">
        <v>136</v>
      </c>
      <c r="B137">
        <v>0</v>
      </c>
      <c r="C137">
        <v>7</v>
      </c>
      <c r="D137">
        <v>2</v>
      </c>
      <c r="E137">
        <v>8</v>
      </c>
      <c r="F137">
        <v>5</v>
      </c>
      <c r="G137">
        <v>22</v>
      </c>
    </row>
    <row r="138" spans="1:7" x14ac:dyDescent="0.2">
      <c r="A138">
        <v>137</v>
      </c>
      <c r="B138">
        <v>0</v>
      </c>
      <c r="C138">
        <v>7</v>
      </c>
      <c r="D138">
        <v>2</v>
      </c>
      <c r="E138">
        <v>8</v>
      </c>
      <c r="F138">
        <v>5</v>
      </c>
      <c r="G138">
        <v>22</v>
      </c>
    </row>
    <row r="139" spans="1:7" x14ac:dyDescent="0.2">
      <c r="A139">
        <v>138</v>
      </c>
      <c r="B139">
        <v>0</v>
      </c>
      <c r="C139">
        <v>7</v>
      </c>
      <c r="D139">
        <v>2</v>
      </c>
      <c r="E139">
        <v>8</v>
      </c>
      <c r="F139">
        <v>5</v>
      </c>
      <c r="G139">
        <v>22</v>
      </c>
    </row>
    <row r="140" spans="1:7" x14ac:dyDescent="0.2">
      <c r="A140">
        <v>139</v>
      </c>
      <c r="B140">
        <v>0</v>
      </c>
      <c r="C140">
        <v>7</v>
      </c>
      <c r="D140">
        <v>2</v>
      </c>
      <c r="E140">
        <v>8</v>
      </c>
      <c r="F140">
        <v>5</v>
      </c>
      <c r="G140">
        <v>22</v>
      </c>
    </row>
    <row r="141" spans="1:7" x14ac:dyDescent="0.2">
      <c r="A141">
        <v>140</v>
      </c>
      <c r="B141">
        <v>0</v>
      </c>
      <c r="C141">
        <v>7</v>
      </c>
      <c r="D141">
        <v>2</v>
      </c>
      <c r="E141">
        <v>8</v>
      </c>
      <c r="F141">
        <v>5</v>
      </c>
      <c r="G141">
        <v>22</v>
      </c>
    </row>
    <row r="142" spans="1:7" x14ac:dyDescent="0.2">
      <c r="A142">
        <v>141</v>
      </c>
      <c r="B142">
        <v>0</v>
      </c>
      <c r="C142">
        <v>7</v>
      </c>
      <c r="D142">
        <v>2</v>
      </c>
      <c r="E142">
        <v>8</v>
      </c>
      <c r="F142">
        <v>5</v>
      </c>
      <c r="G142">
        <v>22</v>
      </c>
    </row>
    <row r="143" spans="1:7" x14ac:dyDescent="0.2">
      <c r="A143">
        <v>142</v>
      </c>
      <c r="B143">
        <v>0</v>
      </c>
      <c r="C143">
        <v>7</v>
      </c>
      <c r="D143">
        <v>2</v>
      </c>
      <c r="E143">
        <v>8</v>
      </c>
      <c r="F143">
        <v>5</v>
      </c>
      <c r="G143">
        <v>22</v>
      </c>
    </row>
    <row r="144" spans="1:7" x14ac:dyDescent="0.2">
      <c r="A144">
        <v>143</v>
      </c>
      <c r="B144">
        <v>0</v>
      </c>
      <c r="C144">
        <v>7</v>
      </c>
      <c r="D144">
        <v>2</v>
      </c>
      <c r="E144">
        <v>8</v>
      </c>
      <c r="F144">
        <v>5</v>
      </c>
      <c r="G144">
        <v>22</v>
      </c>
    </row>
    <row r="145" spans="1:7" x14ac:dyDescent="0.2">
      <c r="A145">
        <v>144</v>
      </c>
      <c r="B145">
        <v>0</v>
      </c>
      <c r="C145">
        <v>7</v>
      </c>
      <c r="D145">
        <v>2</v>
      </c>
      <c r="E145">
        <v>8</v>
      </c>
      <c r="F145">
        <v>5</v>
      </c>
      <c r="G145">
        <v>22</v>
      </c>
    </row>
    <row r="146" spans="1:7" x14ac:dyDescent="0.2">
      <c r="A146">
        <v>145</v>
      </c>
      <c r="B146">
        <v>0</v>
      </c>
      <c r="C146">
        <v>7</v>
      </c>
      <c r="D146">
        <v>2</v>
      </c>
      <c r="E146">
        <v>8</v>
      </c>
      <c r="F146">
        <v>5</v>
      </c>
      <c r="G146">
        <v>22</v>
      </c>
    </row>
    <row r="147" spans="1:7" x14ac:dyDescent="0.2">
      <c r="A147">
        <v>146</v>
      </c>
      <c r="B147">
        <v>0</v>
      </c>
      <c r="C147">
        <v>7</v>
      </c>
      <c r="D147">
        <v>2</v>
      </c>
      <c r="E147">
        <v>8</v>
      </c>
      <c r="F147">
        <v>5</v>
      </c>
      <c r="G147">
        <v>22</v>
      </c>
    </row>
    <row r="148" spans="1:7" x14ac:dyDescent="0.2">
      <c r="A148">
        <v>147</v>
      </c>
      <c r="B148">
        <v>0</v>
      </c>
      <c r="C148">
        <v>7</v>
      </c>
      <c r="D148">
        <v>2</v>
      </c>
      <c r="E148">
        <v>8</v>
      </c>
      <c r="F148">
        <v>5</v>
      </c>
      <c r="G148">
        <v>22</v>
      </c>
    </row>
    <row r="149" spans="1:7" x14ac:dyDescent="0.2">
      <c r="A149">
        <v>148</v>
      </c>
      <c r="B149">
        <v>0</v>
      </c>
      <c r="C149">
        <v>7</v>
      </c>
      <c r="D149">
        <v>2</v>
      </c>
      <c r="E149">
        <v>8</v>
      </c>
      <c r="F149">
        <v>5</v>
      </c>
      <c r="G149">
        <v>22</v>
      </c>
    </row>
    <row r="150" spans="1:7" x14ac:dyDescent="0.2">
      <c r="A150">
        <v>149</v>
      </c>
      <c r="B150">
        <v>0</v>
      </c>
      <c r="C150">
        <v>7</v>
      </c>
      <c r="D150">
        <v>2</v>
      </c>
      <c r="E150">
        <v>8</v>
      </c>
      <c r="F150">
        <v>5</v>
      </c>
      <c r="G150">
        <v>22</v>
      </c>
    </row>
    <row r="151" spans="1:7" x14ac:dyDescent="0.2">
      <c r="A151">
        <v>150</v>
      </c>
      <c r="B151">
        <v>0</v>
      </c>
      <c r="C151">
        <v>7</v>
      </c>
      <c r="D151">
        <v>2</v>
      </c>
      <c r="E151">
        <v>8</v>
      </c>
      <c r="F151">
        <v>5</v>
      </c>
      <c r="G151">
        <v>22</v>
      </c>
    </row>
    <row r="152" spans="1:7" x14ac:dyDescent="0.2">
      <c r="A152">
        <v>151</v>
      </c>
      <c r="B152">
        <v>0</v>
      </c>
      <c r="C152">
        <v>7</v>
      </c>
      <c r="D152">
        <v>2</v>
      </c>
      <c r="E152">
        <v>8</v>
      </c>
      <c r="F152">
        <v>5</v>
      </c>
      <c r="G152">
        <v>22</v>
      </c>
    </row>
    <row r="153" spans="1:7" x14ac:dyDescent="0.2">
      <c r="A153">
        <v>152</v>
      </c>
      <c r="B153">
        <v>0</v>
      </c>
      <c r="C153">
        <v>7</v>
      </c>
      <c r="D153">
        <v>2</v>
      </c>
      <c r="E153">
        <v>8</v>
      </c>
      <c r="F153">
        <v>5</v>
      </c>
      <c r="G153">
        <v>22</v>
      </c>
    </row>
    <row r="154" spans="1:7" x14ac:dyDescent="0.2">
      <c r="A154">
        <v>153</v>
      </c>
      <c r="B154">
        <v>0</v>
      </c>
      <c r="C154">
        <v>7</v>
      </c>
      <c r="D154">
        <v>2</v>
      </c>
      <c r="E154">
        <v>8</v>
      </c>
      <c r="F154">
        <v>5</v>
      </c>
      <c r="G154">
        <v>22</v>
      </c>
    </row>
    <row r="155" spans="1:7" x14ac:dyDescent="0.2">
      <c r="A155">
        <v>154</v>
      </c>
      <c r="B155">
        <v>0</v>
      </c>
      <c r="C155">
        <v>7</v>
      </c>
      <c r="D155">
        <v>2</v>
      </c>
      <c r="E155">
        <v>8</v>
      </c>
      <c r="F155">
        <v>9</v>
      </c>
      <c r="G155">
        <v>26</v>
      </c>
    </row>
    <row r="156" spans="1:7" x14ac:dyDescent="0.2">
      <c r="A156">
        <v>155</v>
      </c>
      <c r="B156">
        <v>0</v>
      </c>
      <c r="C156">
        <v>7</v>
      </c>
      <c r="D156">
        <v>2</v>
      </c>
      <c r="E156">
        <v>8</v>
      </c>
      <c r="F156">
        <v>9</v>
      </c>
      <c r="G156">
        <v>26</v>
      </c>
    </row>
    <row r="157" spans="1:7" x14ac:dyDescent="0.2">
      <c r="A157">
        <v>156</v>
      </c>
      <c r="B157">
        <v>0</v>
      </c>
      <c r="C157">
        <v>5</v>
      </c>
      <c r="D157">
        <v>2</v>
      </c>
      <c r="E157">
        <v>8</v>
      </c>
      <c r="F157">
        <v>9</v>
      </c>
      <c r="G157">
        <v>24</v>
      </c>
    </row>
    <row r="158" spans="1:7" x14ac:dyDescent="0.2">
      <c r="A158">
        <v>157</v>
      </c>
      <c r="B158">
        <v>0</v>
      </c>
      <c r="C158">
        <v>6</v>
      </c>
      <c r="D158">
        <v>2</v>
      </c>
      <c r="E158">
        <v>8</v>
      </c>
      <c r="F158">
        <v>9</v>
      </c>
      <c r="G158">
        <v>25</v>
      </c>
    </row>
    <row r="159" spans="1:7" x14ac:dyDescent="0.2">
      <c r="A159">
        <v>158</v>
      </c>
      <c r="B159">
        <v>0</v>
      </c>
      <c r="C159">
        <v>6</v>
      </c>
      <c r="D159">
        <v>2</v>
      </c>
      <c r="E159">
        <v>8</v>
      </c>
      <c r="F159">
        <v>9</v>
      </c>
      <c r="G159">
        <v>25</v>
      </c>
    </row>
    <row r="160" spans="1:7" x14ac:dyDescent="0.2">
      <c r="A160">
        <v>159</v>
      </c>
      <c r="B160">
        <v>0</v>
      </c>
      <c r="C160">
        <v>6</v>
      </c>
      <c r="D160">
        <v>2</v>
      </c>
      <c r="E160">
        <v>8</v>
      </c>
      <c r="F160">
        <v>9</v>
      </c>
      <c r="G160">
        <v>25</v>
      </c>
    </row>
    <row r="161" spans="1:7" x14ac:dyDescent="0.2">
      <c r="A161">
        <v>160</v>
      </c>
      <c r="B161">
        <v>0</v>
      </c>
      <c r="C161">
        <v>6</v>
      </c>
      <c r="D161">
        <v>2</v>
      </c>
      <c r="E161">
        <v>5</v>
      </c>
      <c r="F161">
        <v>9</v>
      </c>
      <c r="G161">
        <v>22</v>
      </c>
    </row>
    <row r="162" spans="1:7" x14ac:dyDescent="0.2">
      <c r="A162">
        <v>161</v>
      </c>
      <c r="B162">
        <v>0</v>
      </c>
      <c r="C162">
        <v>6</v>
      </c>
      <c r="D162">
        <v>2</v>
      </c>
      <c r="E162">
        <v>5</v>
      </c>
      <c r="F162">
        <v>9</v>
      </c>
      <c r="G162">
        <v>22</v>
      </c>
    </row>
    <row r="163" spans="1:7" x14ac:dyDescent="0.2">
      <c r="A163">
        <v>162</v>
      </c>
      <c r="B163">
        <v>0</v>
      </c>
      <c r="C163">
        <v>6</v>
      </c>
      <c r="D163">
        <v>2</v>
      </c>
      <c r="E163">
        <v>6</v>
      </c>
      <c r="F163">
        <v>9</v>
      </c>
      <c r="G163">
        <v>23</v>
      </c>
    </row>
    <row r="164" spans="1:7" x14ac:dyDescent="0.2">
      <c r="A164">
        <v>163</v>
      </c>
      <c r="B164">
        <v>0</v>
      </c>
      <c r="C164">
        <v>6</v>
      </c>
      <c r="D164">
        <v>2</v>
      </c>
      <c r="E164">
        <v>6</v>
      </c>
      <c r="F164">
        <v>9</v>
      </c>
      <c r="G164">
        <v>23</v>
      </c>
    </row>
    <row r="165" spans="1:7" x14ac:dyDescent="0.2">
      <c r="A165">
        <v>164</v>
      </c>
      <c r="B165">
        <v>0</v>
      </c>
      <c r="C165">
        <v>6</v>
      </c>
      <c r="D165">
        <v>2</v>
      </c>
      <c r="E165">
        <v>5</v>
      </c>
      <c r="F165">
        <v>9</v>
      </c>
      <c r="G165">
        <v>22</v>
      </c>
    </row>
    <row r="166" spans="1:7" x14ac:dyDescent="0.2">
      <c r="A166">
        <v>165</v>
      </c>
      <c r="B166">
        <v>0</v>
      </c>
      <c r="C166">
        <v>6</v>
      </c>
      <c r="D166">
        <v>2</v>
      </c>
      <c r="E166">
        <v>5</v>
      </c>
      <c r="F166">
        <v>9</v>
      </c>
      <c r="G166">
        <v>22</v>
      </c>
    </row>
    <row r="167" spans="1:7" x14ac:dyDescent="0.2">
      <c r="A167">
        <v>166</v>
      </c>
      <c r="B167" s="39">
        <v>8</v>
      </c>
      <c r="C167">
        <v>6</v>
      </c>
      <c r="D167">
        <v>2</v>
      </c>
      <c r="E167">
        <v>5</v>
      </c>
      <c r="F167">
        <v>9</v>
      </c>
      <c r="G167">
        <v>30</v>
      </c>
    </row>
    <row r="168" spans="1:7" x14ac:dyDescent="0.2">
      <c r="A168">
        <v>167</v>
      </c>
      <c r="B168" s="39">
        <v>8</v>
      </c>
      <c r="C168">
        <v>6</v>
      </c>
      <c r="D168">
        <v>2</v>
      </c>
      <c r="E168">
        <v>5</v>
      </c>
      <c r="F168">
        <v>9</v>
      </c>
      <c r="G168">
        <v>30</v>
      </c>
    </row>
    <row r="169" spans="1:7" x14ac:dyDescent="0.2">
      <c r="A169">
        <v>168</v>
      </c>
      <c r="B169" s="39">
        <v>8</v>
      </c>
      <c r="C169">
        <v>4</v>
      </c>
      <c r="D169">
        <v>2</v>
      </c>
      <c r="E169">
        <v>5</v>
      </c>
      <c r="F169">
        <v>9</v>
      </c>
      <c r="G169">
        <v>28</v>
      </c>
    </row>
    <row r="170" spans="1:7" x14ac:dyDescent="0.2">
      <c r="A170">
        <v>169</v>
      </c>
      <c r="B170" s="39">
        <v>8</v>
      </c>
      <c r="C170">
        <v>4</v>
      </c>
      <c r="D170">
        <v>2</v>
      </c>
      <c r="E170">
        <v>5</v>
      </c>
      <c r="F170">
        <v>9</v>
      </c>
      <c r="G170">
        <v>28</v>
      </c>
    </row>
    <row r="171" spans="1:7" x14ac:dyDescent="0.2">
      <c r="A171">
        <v>170</v>
      </c>
      <c r="B171" s="39">
        <v>8</v>
      </c>
      <c r="C171">
        <v>4</v>
      </c>
      <c r="D171">
        <v>2</v>
      </c>
      <c r="E171">
        <v>5</v>
      </c>
      <c r="F171">
        <v>9</v>
      </c>
      <c r="G171">
        <v>28</v>
      </c>
    </row>
    <row r="172" spans="1:7" x14ac:dyDescent="0.2">
      <c r="A172">
        <v>171</v>
      </c>
      <c r="B172" s="39">
        <v>8</v>
      </c>
      <c r="C172">
        <v>4</v>
      </c>
      <c r="D172">
        <v>2</v>
      </c>
      <c r="E172">
        <v>7</v>
      </c>
      <c r="F172">
        <v>9</v>
      </c>
      <c r="G172">
        <v>30</v>
      </c>
    </row>
    <row r="173" spans="1:7" x14ac:dyDescent="0.2">
      <c r="A173">
        <v>172</v>
      </c>
      <c r="B173" s="39">
        <v>8</v>
      </c>
      <c r="C173">
        <v>4</v>
      </c>
      <c r="D173">
        <v>2</v>
      </c>
      <c r="E173">
        <v>7</v>
      </c>
      <c r="F173">
        <v>9</v>
      </c>
      <c r="G173">
        <v>30</v>
      </c>
    </row>
    <row r="174" spans="1:7" x14ac:dyDescent="0.2">
      <c r="A174">
        <v>173</v>
      </c>
      <c r="B174" s="39">
        <v>8</v>
      </c>
      <c r="C174">
        <v>4</v>
      </c>
      <c r="D174">
        <v>2</v>
      </c>
      <c r="E174">
        <v>6</v>
      </c>
      <c r="F174">
        <v>9</v>
      </c>
      <c r="G174">
        <v>29</v>
      </c>
    </row>
    <row r="175" spans="1:7" x14ac:dyDescent="0.2">
      <c r="A175">
        <v>174</v>
      </c>
      <c r="B175" s="39">
        <v>8</v>
      </c>
      <c r="C175">
        <v>4</v>
      </c>
      <c r="D175">
        <v>2</v>
      </c>
      <c r="E175">
        <v>6</v>
      </c>
      <c r="F175">
        <v>9</v>
      </c>
      <c r="G175">
        <v>29</v>
      </c>
    </row>
    <row r="176" spans="1:7" x14ac:dyDescent="0.2">
      <c r="A176">
        <v>175</v>
      </c>
      <c r="B176" s="39">
        <v>8</v>
      </c>
      <c r="C176">
        <v>4</v>
      </c>
      <c r="D176">
        <v>2</v>
      </c>
      <c r="E176">
        <v>6</v>
      </c>
      <c r="F176">
        <v>9</v>
      </c>
      <c r="G176">
        <v>29</v>
      </c>
    </row>
    <row r="177" spans="1:7" x14ac:dyDescent="0.2">
      <c r="A177">
        <v>176</v>
      </c>
      <c r="B177" s="39">
        <v>8</v>
      </c>
      <c r="C177">
        <v>4</v>
      </c>
      <c r="D177">
        <v>2</v>
      </c>
      <c r="E177">
        <v>6</v>
      </c>
      <c r="F177">
        <v>9</v>
      </c>
      <c r="G177">
        <v>29</v>
      </c>
    </row>
    <row r="178" spans="1:7" x14ac:dyDescent="0.2">
      <c r="A178">
        <v>177</v>
      </c>
      <c r="B178" s="39">
        <v>8</v>
      </c>
      <c r="C178">
        <v>4</v>
      </c>
      <c r="D178">
        <v>2</v>
      </c>
      <c r="E178">
        <v>4</v>
      </c>
      <c r="F178">
        <v>9</v>
      </c>
      <c r="G178">
        <v>27</v>
      </c>
    </row>
    <row r="179" spans="1:7" x14ac:dyDescent="0.2">
      <c r="A179">
        <v>178</v>
      </c>
      <c r="B179" s="39">
        <v>8</v>
      </c>
      <c r="C179">
        <v>4</v>
      </c>
      <c r="D179">
        <v>2</v>
      </c>
      <c r="E179">
        <v>5</v>
      </c>
      <c r="F179">
        <v>9</v>
      </c>
      <c r="G179">
        <v>28</v>
      </c>
    </row>
    <row r="180" spans="1:7" x14ac:dyDescent="0.2">
      <c r="A180">
        <v>179</v>
      </c>
      <c r="B180" s="39">
        <v>8</v>
      </c>
      <c r="C180">
        <v>4</v>
      </c>
      <c r="D180">
        <v>2</v>
      </c>
      <c r="E180">
        <v>5</v>
      </c>
      <c r="F180">
        <v>9</v>
      </c>
      <c r="G180">
        <v>28</v>
      </c>
    </row>
    <row r="181" spans="1:7" x14ac:dyDescent="0.2">
      <c r="A181">
        <v>180</v>
      </c>
      <c r="B181" s="39">
        <v>8</v>
      </c>
      <c r="C181">
        <v>4</v>
      </c>
      <c r="D181">
        <v>2</v>
      </c>
      <c r="E181">
        <v>5</v>
      </c>
      <c r="F181">
        <v>9</v>
      </c>
      <c r="G181">
        <v>28</v>
      </c>
    </row>
    <row r="182" spans="1:7" x14ac:dyDescent="0.2">
      <c r="A182">
        <v>181</v>
      </c>
      <c r="B182">
        <v>0</v>
      </c>
      <c r="C182">
        <v>4</v>
      </c>
      <c r="D182">
        <v>2</v>
      </c>
      <c r="E182">
        <v>6</v>
      </c>
      <c r="F182">
        <v>9</v>
      </c>
      <c r="G182">
        <v>21</v>
      </c>
    </row>
    <row r="183" spans="1:7" x14ac:dyDescent="0.2">
      <c r="A183">
        <v>182</v>
      </c>
      <c r="B183">
        <v>0</v>
      </c>
      <c r="C183">
        <v>4</v>
      </c>
      <c r="D183">
        <v>2</v>
      </c>
      <c r="E183">
        <v>6</v>
      </c>
      <c r="F183">
        <v>9</v>
      </c>
      <c r="G183">
        <v>21</v>
      </c>
    </row>
    <row r="184" spans="1:7" x14ac:dyDescent="0.2">
      <c r="A184">
        <v>183</v>
      </c>
      <c r="B184">
        <v>0</v>
      </c>
      <c r="C184">
        <v>4</v>
      </c>
      <c r="D184">
        <v>2</v>
      </c>
      <c r="E184">
        <v>6</v>
      </c>
      <c r="F184">
        <v>9</v>
      </c>
      <c r="G184">
        <v>21</v>
      </c>
    </row>
    <row r="185" spans="1:7" x14ac:dyDescent="0.2">
      <c r="A185">
        <v>184</v>
      </c>
      <c r="B185">
        <v>0</v>
      </c>
      <c r="C185">
        <v>18</v>
      </c>
      <c r="D185">
        <v>2</v>
      </c>
      <c r="E185">
        <v>6</v>
      </c>
      <c r="F185">
        <v>5</v>
      </c>
      <c r="G185">
        <v>31</v>
      </c>
    </row>
    <row r="186" spans="1:7" x14ac:dyDescent="0.2">
      <c r="A186">
        <v>185</v>
      </c>
      <c r="B186">
        <v>0</v>
      </c>
      <c r="C186">
        <v>18</v>
      </c>
      <c r="D186">
        <v>2</v>
      </c>
      <c r="E186">
        <v>6</v>
      </c>
      <c r="F186">
        <v>4</v>
      </c>
      <c r="G186">
        <v>30</v>
      </c>
    </row>
    <row r="187" spans="1:7" x14ac:dyDescent="0.2">
      <c r="A187">
        <v>186</v>
      </c>
      <c r="B187">
        <v>0</v>
      </c>
      <c r="C187">
        <v>18</v>
      </c>
      <c r="D187">
        <v>2</v>
      </c>
      <c r="E187">
        <v>4</v>
      </c>
      <c r="F187">
        <v>4</v>
      </c>
      <c r="G187">
        <v>28</v>
      </c>
    </row>
    <row r="188" spans="1:7" x14ac:dyDescent="0.2">
      <c r="A188">
        <v>187</v>
      </c>
      <c r="B188">
        <v>0</v>
      </c>
      <c r="C188">
        <v>17</v>
      </c>
      <c r="D188">
        <v>2</v>
      </c>
      <c r="E188">
        <v>4</v>
      </c>
      <c r="F188">
        <v>4</v>
      </c>
      <c r="G188">
        <v>27</v>
      </c>
    </row>
    <row r="189" spans="1:7" x14ac:dyDescent="0.2">
      <c r="A189">
        <v>188</v>
      </c>
      <c r="B189">
        <v>0</v>
      </c>
      <c r="C189">
        <v>17</v>
      </c>
      <c r="D189">
        <v>2</v>
      </c>
      <c r="E189">
        <v>4</v>
      </c>
      <c r="F189">
        <v>4</v>
      </c>
      <c r="G189">
        <v>27</v>
      </c>
    </row>
    <row r="190" spans="1:7" x14ac:dyDescent="0.2">
      <c r="A190">
        <v>189</v>
      </c>
      <c r="B190">
        <v>0</v>
      </c>
      <c r="C190">
        <v>17</v>
      </c>
      <c r="D190">
        <v>2</v>
      </c>
      <c r="E190">
        <v>4</v>
      </c>
      <c r="F190">
        <v>4</v>
      </c>
      <c r="G190">
        <v>27</v>
      </c>
    </row>
    <row r="191" spans="1:7" x14ac:dyDescent="0.2">
      <c r="A191">
        <v>190</v>
      </c>
      <c r="B191">
        <v>0</v>
      </c>
      <c r="C191">
        <v>17</v>
      </c>
      <c r="D191">
        <v>2</v>
      </c>
      <c r="E191">
        <v>4</v>
      </c>
      <c r="F191">
        <v>4</v>
      </c>
      <c r="G191">
        <v>27</v>
      </c>
    </row>
    <row r="192" spans="1:7" x14ac:dyDescent="0.2">
      <c r="A192">
        <v>191</v>
      </c>
      <c r="B192">
        <v>0</v>
      </c>
      <c r="C192">
        <v>16</v>
      </c>
      <c r="D192">
        <v>2</v>
      </c>
      <c r="E192">
        <v>4</v>
      </c>
      <c r="F192">
        <v>4</v>
      </c>
      <c r="G192">
        <v>26</v>
      </c>
    </row>
    <row r="193" spans="1:7" x14ac:dyDescent="0.2">
      <c r="A193">
        <v>192</v>
      </c>
      <c r="B193">
        <v>0</v>
      </c>
      <c r="C193">
        <v>16</v>
      </c>
      <c r="D193">
        <v>2</v>
      </c>
      <c r="E193">
        <v>4</v>
      </c>
      <c r="F193">
        <v>4</v>
      </c>
      <c r="G193">
        <v>26</v>
      </c>
    </row>
    <row r="194" spans="1:7" x14ac:dyDescent="0.2">
      <c r="A194">
        <v>193</v>
      </c>
      <c r="B194">
        <v>0</v>
      </c>
      <c r="C194">
        <v>16</v>
      </c>
      <c r="D194">
        <v>2</v>
      </c>
      <c r="E194">
        <v>5</v>
      </c>
      <c r="F194">
        <v>4</v>
      </c>
      <c r="G194">
        <v>27</v>
      </c>
    </row>
    <row r="195" spans="1:7" x14ac:dyDescent="0.2">
      <c r="A195">
        <v>194</v>
      </c>
      <c r="B195">
        <v>0</v>
      </c>
      <c r="C195">
        <v>15</v>
      </c>
      <c r="D195">
        <v>2</v>
      </c>
      <c r="E195">
        <v>5</v>
      </c>
      <c r="F195">
        <v>4</v>
      </c>
      <c r="G195">
        <v>26</v>
      </c>
    </row>
    <row r="196" spans="1:7" x14ac:dyDescent="0.2">
      <c r="A196">
        <v>195</v>
      </c>
      <c r="B196">
        <v>0</v>
      </c>
      <c r="C196">
        <v>15</v>
      </c>
      <c r="D196">
        <v>2</v>
      </c>
      <c r="E196">
        <v>5</v>
      </c>
      <c r="F196">
        <v>4</v>
      </c>
      <c r="G196">
        <v>26</v>
      </c>
    </row>
    <row r="197" spans="1:7" x14ac:dyDescent="0.2">
      <c r="A197">
        <v>196</v>
      </c>
      <c r="B197">
        <v>0</v>
      </c>
      <c r="C197">
        <v>15</v>
      </c>
      <c r="D197">
        <v>2</v>
      </c>
      <c r="E197">
        <v>5</v>
      </c>
      <c r="F197">
        <v>4</v>
      </c>
      <c r="G197">
        <v>26</v>
      </c>
    </row>
    <row r="198" spans="1:7" x14ac:dyDescent="0.2">
      <c r="A198">
        <v>197</v>
      </c>
      <c r="B198">
        <v>0</v>
      </c>
      <c r="C198">
        <v>15</v>
      </c>
      <c r="D198">
        <v>2</v>
      </c>
      <c r="E198">
        <v>7</v>
      </c>
      <c r="F198">
        <v>4</v>
      </c>
      <c r="G198">
        <v>28</v>
      </c>
    </row>
    <row r="199" spans="1:7" x14ac:dyDescent="0.2">
      <c r="A199">
        <v>198</v>
      </c>
      <c r="B199">
        <v>0</v>
      </c>
      <c r="C199">
        <v>15</v>
      </c>
      <c r="D199">
        <v>2</v>
      </c>
      <c r="E199">
        <v>7</v>
      </c>
      <c r="F199">
        <v>4</v>
      </c>
      <c r="G199">
        <v>28</v>
      </c>
    </row>
    <row r="200" spans="1:7" x14ac:dyDescent="0.2">
      <c r="A200">
        <v>199</v>
      </c>
      <c r="B200">
        <v>0</v>
      </c>
      <c r="C200">
        <v>14</v>
      </c>
      <c r="D200">
        <v>2</v>
      </c>
      <c r="E200">
        <v>7</v>
      </c>
      <c r="F200">
        <v>4</v>
      </c>
      <c r="G200">
        <v>27</v>
      </c>
    </row>
    <row r="201" spans="1:7" x14ac:dyDescent="0.2">
      <c r="A201">
        <v>200</v>
      </c>
      <c r="B201">
        <v>0</v>
      </c>
      <c r="C201">
        <v>14</v>
      </c>
      <c r="D201">
        <v>2</v>
      </c>
      <c r="E201">
        <v>7</v>
      </c>
      <c r="F201">
        <v>4</v>
      </c>
      <c r="G201">
        <v>27</v>
      </c>
    </row>
    <row r="202" spans="1:7" x14ac:dyDescent="0.2">
      <c r="A202">
        <v>201</v>
      </c>
      <c r="B202">
        <v>0</v>
      </c>
      <c r="C202">
        <v>14</v>
      </c>
      <c r="D202">
        <v>2</v>
      </c>
      <c r="E202">
        <v>7</v>
      </c>
      <c r="F202">
        <v>4</v>
      </c>
      <c r="G202">
        <v>27</v>
      </c>
    </row>
    <row r="203" spans="1:7" x14ac:dyDescent="0.2">
      <c r="A203">
        <v>202</v>
      </c>
      <c r="B203">
        <v>0</v>
      </c>
      <c r="C203">
        <v>14</v>
      </c>
      <c r="D203">
        <v>2</v>
      </c>
      <c r="E203">
        <v>8</v>
      </c>
      <c r="F203">
        <v>4</v>
      </c>
      <c r="G203">
        <v>28</v>
      </c>
    </row>
    <row r="204" spans="1:7" x14ac:dyDescent="0.2">
      <c r="A204">
        <v>203</v>
      </c>
      <c r="B204">
        <v>0</v>
      </c>
      <c r="C204">
        <v>14</v>
      </c>
      <c r="D204">
        <v>2</v>
      </c>
      <c r="E204">
        <v>8</v>
      </c>
      <c r="F204">
        <v>4</v>
      </c>
      <c r="G204">
        <v>28</v>
      </c>
    </row>
    <row r="205" spans="1:7" x14ac:dyDescent="0.2">
      <c r="A205">
        <v>204</v>
      </c>
      <c r="B205">
        <v>0</v>
      </c>
      <c r="C205">
        <v>14</v>
      </c>
      <c r="D205">
        <v>2</v>
      </c>
      <c r="E205">
        <v>8</v>
      </c>
      <c r="F205">
        <v>4</v>
      </c>
      <c r="G205">
        <v>28</v>
      </c>
    </row>
    <row r="206" spans="1:7" x14ac:dyDescent="0.2">
      <c r="A206">
        <v>205</v>
      </c>
      <c r="B206">
        <v>0</v>
      </c>
      <c r="C206">
        <v>14</v>
      </c>
      <c r="D206">
        <v>2</v>
      </c>
      <c r="E206">
        <v>9</v>
      </c>
      <c r="F206">
        <v>4</v>
      </c>
      <c r="G206">
        <v>29</v>
      </c>
    </row>
    <row r="207" spans="1:7" x14ac:dyDescent="0.2">
      <c r="A207">
        <v>206</v>
      </c>
      <c r="B207">
        <v>0</v>
      </c>
      <c r="C207">
        <v>14</v>
      </c>
      <c r="D207">
        <v>2</v>
      </c>
      <c r="E207">
        <v>8</v>
      </c>
      <c r="F207">
        <v>4</v>
      </c>
      <c r="G207">
        <v>28</v>
      </c>
    </row>
    <row r="208" spans="1:7" x14ac:dyDescent="0.2">
      <c r="A208">
        <v>207</v>
      </c>
      <c r="B208">
        <v>0</v>
      </c>
      <c r="C208">
        <v>14</v>
      </c>
      <c r="D208">
        <v>2</v>
      </c>
      <c r="E208">
        <v>8</v>
      </c>
      <c r="F208">
        <v>4</v>
      </c>
      <c r="G208">
        <v>28</v>
      </c>
    </row>
    <row r="209" spans="1:7" x14ac:dyDescent="0.2">
      <c r="A209">
        <v>208</v>
      </c>
      <c r="B209">
        <v>0</v>
      </c>
      <c r="C209">
        <v>14</v>
      </c>
      <c r="D209">
        <v>2</v>
      </c>
      <c r="E209">
        <v>8</v>
      </c>
      <c r="F209">
        <v>3</v>
      </c>
      <c r="G209">
        <v>27</v>
      </c>
    </row>
    <row r="210" spans="1:7" x14ac:dyDescent="0.2">
      <c r="A210">
        <v>209</v>
      </c>
      <c r="B210">
        <v>0</v>
      </c>
      <c r="C210">
        <v>14</v>
      </c>
      <c r="D210">
        <v>2</v>
      </c>
      <c r="E210">
        <v>9</v>
      </c>
      <c r="F210">
        <v>3</v>
      </c>
      <c r="G210">
        <v>28</v>
      </c>
    </row>
    <row r="211" spans="1:7" x14ac:dyDescent="0.2">
      <c r="A211">
        <v>210</v>
      </c>
      <c r="B211">
        <v>0</v>
      </c>
      <c r="C211">
        <v>14</v>
      </c>
      <c r="D211">
        <v>2</v>
      </c>
      <c r="E211">
        <v>9</v>
      </c>
      <c r="F211">
        <v>4</v>
      </c>
      <c r="G211">
        <v>29</v>
      </c>
    </row>
    <row r="212" spans="1:7" x14ac:dyDescent="0.2">
      <c r="A212">
        <v>211</v>
      </c>
      <c r="B212">
        <v>0</v>
      </c>
      <c r="C212">
        <v>14</v>
      </c>
      <c r="D212">
        <v>2</v>
      </c>
      <c r="E212">
        <v>9</v>
      </c>
      <c r="F212">
        <v>4</v>
      </c>
      <c r="G212">
        <v>29</v>
      </c>
    </row>
    <row r="213" spans="1:7" x14ac:dyDescent="0.2">
      <c r="A213">
        <v>212</v>
      </c>
      <c r="B213">
        <v>0</v>
      </c>
      <c r="C213">
        <v>14</v>
      </c>
      <c r="D213">
        <v>3</v>
      </c>
      <c r="E213">
        <v>9</v>
      </c>
      <c r="F213">
        <v>4</v>
      </c>
      <c r="G213">
        <v>30</v>
      </c>
    </row>
    <row r="214" spans="1:7" x14ac:dyDescent="0.2">
      <c r="A214">
        <v>213</v>
      </c>
      <c r="B214">
        <v>0</v>
      </c>
      <c r="C214">
        <v>14</v>
      </c>
      <c r="D214">
        <v>3</v>
      </c>
      <c r="E214">
        <v>9</v>
      </c>
      <c r="F214">
        <v>4</v>
      </c>
      <c r="G214">
        <v>30</v>
      </c>
    </row>
    <row r="215" spans="1:7" x14ac:dyDescent="0.2">
      <c r="A215">
        <v>214</v>
      </c>
      <c r="B215">
        <v>0</v>
      </c>
      <c r="C215">
        <v>0</v>
      </c>
      <c r="D215">
        <v>3</v>
      </c>
      <c r="E215">
        <v>9</v>
      </c>
      <c r="F215">
        <v>6</v>
      </c>
      <c r="G215">
        <v>18</v>
      </c>
    </row>
    <row r="216" spans="1:7" x14ac:dyDescent="0.2">
      <c r="A216">
        <v>215</v>
      </c>
      <c r="B216">
        <v>0</v>
      </c>
      <c r="C216">
        <v>0</v>
      </c>
      <c r="D216">
        <v>5</v>
      </c>
      <c r="E216">
        <v>9</v>
      </c>
      <c r="F216">
        <v>6</v>
      </c>
      <c r="G216">
        <v>20</v>
      </c>
    </row>
    <row r="217" spans="1:7" x14ac:dyDescent="0.2">
      <c r="A217">
        <v>216</v>
      </c>
      <c r="B217">
        <v>0</v>
      </c>
      <c r="C217">
        <v>0</v>
      </c>
      <c r="D217">
        <v>5</v>
      </c>
      <c r="E217">
        <v>9</v>
      </c>
      <c r="F217">
        <v>7</v>
      </c>
      <c r="G217">
        <v>21</v>
      </c>
    </row>
    <row r="218" spans="1:7" x14ac:dyDescent="0.2">
      <c r="A218">
        <v>217</v>
      </c>
      <c r="B218">
        <v>0</v>
      </c>
      <c r="C218">
        <v>0</v>
      </c>
      <c r="D218">
        <v>7</v>
      </c>
      <c r="E218">
        <v>9</v>
      </c>
      <c r="F218">
        <v>7</v>
      </c>
      <c r="G218">
        <v>23</v>
      </c>
    </row>
    <row r="219" spans="1:7" x14ac:dyDescent="0.2">
      <c r="A219">
        <v>218</v>
      </c>
      <c r="B219">
        <v>0</v>
      </c>
      <c r="C219">
        <v>0</v>
      </c>
      <c r="D219">
        <v>7</v>
      </c>
      <c r="E219">
        <v>9</v>
      </c>
      <c r="F219">
        <v>8</v>
      </c>
      <c r="G219">
        <v>24</v>
      </c>
    </row>
    <row r="220" spans="1:7" x14ac:dyDescent="0.2">
      <c r="A220">
        <v>219</v>
      </c>
      <c r="B220">
        <v>0</v>
      </c>
      <c r="C220">
        <v>0</v>
      </c>
      <c r="D220">
        <v>7</v>
      </c>
      <c r="E220">
        <v>9</v>
      </c>
      <c r="F220">
        <v>9</v>
      </c>
      <c r="G220">
        <v>25</v>
      </c>
    </row>
    <row r="221" spans="1:7" x14ac:dyDescent="0.2">
      <c r="A221">
        <v>220</v>
      </c>
      <c r="B221">
        <v>0</v>
      </c>
      <c r="C221">
        <v>0</v>
      </c>
      <c r="D221">
        <v>7</v>
      </c>
      <c r="E221">
        <v>9</v>
      </c>
      <c r="F221">
        <v>9</v>
      </c>
      <c r="G221">
        <v>25</v>
      </c>
    </row>
    <row r="222" spans="1:7" x14ac:dyDescent="0.2">
      <c r="A222">
        <v>221</v>
      </c>
      <c r="B222">
        <v>0</v>
      </c>
      <c r="C222">
        <v>0</v>
      </c>
      <c r="D222">
        <v>7</v>
      </c>
      <c r="E222">
        <v>10</v>
      </c>
      <c r="F222">
        <v>7</v>
      </c>
      <c r="G222">
        <v>24</v>
      </c>
    </row>
    <row r="223" spans="1:7" x14ac:dyDescent="0.2">
      <c r="A223">
        <v>222</v>
      </c>
      <c r="B223">
        <v>0</v>
      </c>
      <c r="C223">
        <v>0</v>
      </c>
      <c r="D223">
        <v>7</v>
      </c>
      <c r="E223">
        <v>10</v>
      </c>
      <c r="F223">
        <v>7</v>
      </c>
      <c r="G223">
        <v>24</v>
      </c>
    </row>
    <row r="224" spans="1:7" x14ac:dyDescent="0.2">
      <c r="A224">
        <v>223</v>
      </c>
      <c r="B224">
        <v>0</v>
      </c>
      <c r="C224">
        <v>0</v>
      </c>
      <c r="D224">
        <v>7</v>
      </c>
      <c r="E224">
        <v>10</v>
      </c>
      <c r="F224">
        <v>7</v>
      </c>
      <c r="G224">
        <v>24</v>
      </c>
    </row>
    <row r="225" spans="1:7" x14ac:dyDescent="0.2">
      <c r="A225">
        <v>224</v>
      </c>
      <c r="B225">
        <v>0</v>
      </c>
      <c r="C225">
        <v>0</v>
      </c>
      <c r="D225">
        <v>7</v>
      </c>
      <c r="E225">
        <v>10</v>
      </c>
      <c r="F225">
        <v>8</v>
      </c>
      <c r="G225">
        <v>25</v>
      </c>
    </row>
    <row r="226" spans="1:7" x14ac:dyDescent="0.2">
      <c r="A226">
        <v>225</v>
      </c>
      <c r="B226">
        <v>0</v>
      </c>
      <c r="C226">
        <v>0</v>
      </c>
      <c r="D226">
        <v>7</v>
      </c>
      <c r="E226">
        <v>10</v>
      </c>
      <c r="F226">
        <v>8</v>
      </c>
      <c r="G226">
        <v>25</v>
      </c>
    </row>
    <row r="227" spans="1:7" x14ac:dyDescent="0.2">
      <c r="A227">
        <v>226</v>
      </c>
      <c r="B227">
        <v>0</v>
      </c>
      <c r="C227">
        <v>0</v>
      </c>
      <c r="D227">
        <v>7</v>
      </c>
      <c r="E227">
        <v>11</v>
      </c>
      <c r="F227">
        <v>8</v>
      </c>
      <c r="G227">
        <v>26</v>
      </c>
    </row>
    <row r="228" spans="1:7" x14ac:dyDescent="0.2">
      <c r="A228">
        <v>227</v>
      </c>
      <c r="B228">
        <v>0</v>
      </c>
      <c r="C228">
        <v>0</v>
      </c>
      <c r="D228">
        <v>7</v>
      </c>
      <c r="E228">
        <v>9</v>
      </c>
      <c r="F228">
        <v>8</v>
      </c>
      <c r="G228">
        <v>24</v>
      </c>
    </row>
    <row r="229" spans="1:7" x14ac:dyDescent="0.2">
      <c r="A229">
        <v>228</v>
      </c>
      <c r="B229">
        <v>0</v>
      </c>
      <c r="C229">
        <v>0</v>
      </c>
      <c r="D229">
        <v>7</v>
      </c>
      <c r="E229">
        <v>9</v>
      </c>
      <c r="F229">
        <v>8</v>
      </c>
      <c r="G229">
        <v>24</v>
      </c>
    </row>
    <row r="230" spans="1:7" x14ac:dyDescent="0.2">
      <c r="A230">
        <v>229</v>
      </c>
      <c r="B230">
        <v>0</v>
      </c>
      <c r="C230">
        <v>0</v>
      </c>
      <c r="D230">
        <v>7</v>
      </c>
      <c r="E230">
        <v>9</v>
      </c>
      <c r="F230">
        <v>8</v>
      </c>
      <c r="G230">
        <v>24</v>
      </c>
    </row>
    <row r="231" spans="1:7" x14ac:dyDescent="0.2">
      <c r="A231">
        <v>230</v>
      </c>
      <c r="B231">
        <v>0</v>
      </c>
      <c r="C231">
        <v>0</v>
      </c>
      <c r="D231">
        <v>5</v>
      </c>
      <c r="E231">
        <v>9</v>
      </c>
      <c r="F231">
        <v>8</v>
      </c>
      <c r="G231">
        <v>22</v>
      </c>
    </row>
    <row r="232" spans="1:7" x14ac:dyDescent="0.2">
      <c r="A232">
        <v>231</v>
      </c>
      <c r="B232">
        <v>0</v>
      </c>
      <c r="C232">
        <v>0</v>
      </c>
      <c r="D232">
        <v>5</v>
      </c>
      <c r="E232">
        <v>10</v>
      </c>
      <c r="F232">
        <v>8</v>
      </c>
      <c r="G232">
        <v>23</v>
      </c>
    </row>
    <row r="233" spans="1:7" x14ac:dyDescent="0.2">
      <c r="A233">
        <v>232</v>
      </c>
      <c r="B233">
        <v>0</v>
      </c>
      <c r="C233">
        <v>0</v>
      </c>
      <c r="D233">
        <v>5</v>
      </c>
      <c r="E233">
        <v>10</v>
      </c>
      <c r="F233">
        <v>8</v>
      </c>
      <c r="G233">
        <v>23</v>
      </c>
    </row>
    <row r="234" spans="1:7" x14ac:dyDescent="0.2">
      <c r="A234">
        <v>233</v>
      </c>
      <c r="B234">
        <v>0</v>
      </c>
      <c r="C234">
        <v>0</v>
      </c>
      <c r="D234">
        <v>5</v>
      </c>
      <c r="E234">
        <v>10</v>
      </c>
      <c r="F234">
        <v>8</v>
      </c>
      <c r="G234">
        <v>23</v>
      </c>
    </row>
    <row r="235" spans="1:7" x14ac:dyDescent="0.2">
      <c r="A235">
        <v>234</v>
      </c>
      <c r="B235">
        <v>0</v>
      </c>
      <c r="C235">
        <v>0</v>
      </c>
      <c r="D235">
        <v>5</v>
      </c>
      <c r="E235">
        <v>10</v>
      </c>
      <c r="F235">
        <v>8</v>
      </c>
      <c r="G235">
        <v>23</v>
      </c>
    </row>
    <row r="236" spans="1:7" x14ac:dyDescent="0.2">
      <c r="A236">
        <v>235</v>
      </c>
      <c r="B236">
        <v>0</v>
      </c>
      <c r="C236">
        <v>0</v>
      </c>
      <c r="D236">
        <v>5</v>
      </c>
      <c r="E236">
        <v>10</v>
      </c>
      <c r="F236">
        <v>8</v>
      </c>
      <c r="G236">
        <v>23</v>
      </c>
    </row>
    <row r="237" spans="1:7" x14ac:dyDescent="0.2">
      <c r="A237">
        <v>236</v>
      </c>
      <c r="B237">
        <v>0</v>
      </c>
      <c r="C237">
        <v>0</v>
      </c>
      <c r="D237">
        <v>7</v>
      </c>
      <c r="E237">
        <v>10</v>
      </c>
      <c r="F237">
        <v>8</v>
      </c>
      <c r="G237">
        <v>25</v>
      </c>
    </row>
    <row r="238" spans="1:7" x14ac:dyDescent="0.2">
      <c r="A238">
        <v>237</v>
      </c>
      <c r="B238">
        <v>0</v>
      </c>
      <c r="C238">
        <v>0</v>
      </c>
      <c r="D238">
        <v>7</v>
      </c>
      <c r="E238">
        <v>10</v>
      </c>
      <c r="F238">
        <v>8</v>
      </c>
      <c r="G238">
        <v>25</v>
      </c>
    </row>
    <row r="239" spans="1:7" x14ac:dyDescent="0.2">
      <c r="A239">
        <v>238</v>
      </c>
      <c r="B239">
        <v>0</v>
      </c>
      <c r="C239">
        <v>0</v>
      </c>
      <c r="D239">
        <v>7</v>
      </c>
      <c r="E239">
        <v>10</v>
      </c>
      <c r="F239">
        <v>8</v>
      </c>
      <c r="G239">
        <v>25</v>
      </c>
    </row>
    <row r="240" spans="1:7" x14ac:dyDescent="0.2">
      <c r="A240">
        <v>239</v>
      </c>
      <c r="B240">
        <v>0</v>
      </c>
      <c r="C240">
        <v>0</v>
      </c>
      <c r="D240">
        <v>7</v>
      </c>
      <c r="E240">
        <v>10</v>
      </c>
      <c r="F240">
        <v>8</v>
      </c>
      <c r="G240">
        <v>25</v>
      </c>
    </row>
    <row r="241" spans="1:7" x14ac:dyDescent="0.2">
      <c r="A241">
        <v>240</v>
      </c>
      <c r="B241">
        <v>0</v>
      </c>
      <c r="C241">
        <v>0</v>
      </c>
      <c r="D241">
        <v>7</v>
      </c>
      <c r="E241">
        <v>10</v>
      </c>
      <c r="F241">
        <v>8</v>
      </c>
      <c r="G241">
        <v>25</v>
      </c>
    </row>
    <row r="242" spans="1:7" x14ac:dyDescent="0.2">
      <c r="A242">
        <v>241</v>
      </c>
      <c r="B242">
        <v>0</v>
      </c>
      <c r="C242">
        <v>0</v>
      </c>
      <c r="D242">
        <v>7</v>
      </c>
      <c r="E242">
        <v>10</v>
      </c>
      <c r="F242">
        <v>8</v>
      </c>
      <c r="G242">
        <v>25</v>
      </c>
    </row>
    <row r="243" spans="1:7" x14ac:dyDescent="0.2">
      <c r="A243">
        <v>242</v>
      </c>
      <c r="B243">
        <v>0</v>
      </c>
      <c r="C243">
        <v>0</v>
      </c>
      <c r="D243">
        <v>6</v>
      </c>
      <c r="E243">
        <v>10</v>
      </c>
      <c r="F243">
        <v>8</v>
      </c>
      <c r="G243">
        <v>24</v>
      </c>
    </row>
    <row r="244" spans="1:7" x14ac:dyDescent="0.2">
      <c r="A244">
        <v>243</v>
      </c>
      <c r="B244">
        <v>0</v>
      </c>
      <c r="C244">
        <v>0</v>
      </c>
      <c r="D244">
        <v>6</v>
      </c>
      <c r="E244">
        <v>10</v>
      </c>
      <c r="F244">
        <v>8</v>
      </c>
      <c r="G244">
        <v>24</v>
      </c>
    </row>
    <row r="245" spans="1:7" x14ac:dyDescent="0.2">
      <c r="A245">
        <v>244</v>
      </c>
      <c r="B245">
        <v>0</v>
      </c>
      <c r="C245">
        <v>0</v>
      </c>
      <c r="D245">
        <v>6</v>
      </c>
      <c r="E245">
        <v>10</v>
      </c>
      <c r="F245">
        <v>8</v>
      </c>
      <c r="G245">
        <v>24</v>
      </c>
    </row>
    <row r="246" spans="1:7" x14ac:dyDescent="0.2">
      <c r="A246">
        <v>245</v>
      </c>
      <c r="B246">
        <v>0</v>
      </c>
      <c r="C246">
        <v>0</v>
      </c>
      <c r="D246">
        <v>6</v>
      </c>
      <c r="E246">
        <v>10</v>
      </c>
      <c r="F246">
        <v>8</v>
      </c>
      <c r="G246">
        <v>24</v>
      </c>
    </row>
    <row r="247" spans="1:7" x14ac:dyDescent="0.2">
      <c r="A247">
        <v>246</v>
      </c>
      <c r="B247">
        <v>0</v>
      </c>
      <c r="C247">
        <v>0</v>
      </c>
      <c r="D247">
        <v>6</v>
      </c>
      <c r="E247">
        <v>10</v>
      </c>
      <c r="F247">
        <v>8</v>
      </c>
      <c r="G247">
        <v>24</v>
      </c>
    </row>
    <row r="248" spans="1:7" x14ac:dyDescent="0.2">
      <c r="A248">
        <v>247</v>
      </c>
      <c r="B248">
        <v>0</v>
      </c>
      <c r="C248">
        <v>0</v>
      </c>
      <c r="D248">
        <v>4</v>
      </c>
      <c r="E248">
        <v>10</v>
      </c>
      <c r="F248">
        <v>8</v>
      </c>
      <c r="G248">
        <v>22</v>
      </c>
    </row>
    <row r="249" spans="1:7" x14ac:dyDescent="0.2">
      <c r="A249">
        <v>248</v>
      </c>
      <c r="B249">
        <v>0</v>
      </c>
      <c r="C249">
        <v>0</v>
      </c>
      <c r="D249">
        <v>7</v>
      </c>
      <c r="E249">
        <v>10</v>
      </c>
      <c r="F249">
        <v>8</v>
      </c>
      <c r="G249">
        <v>25</v>
      </c>
    </row>
    <row r="250" spans="1:7" x14ac:dyDescent="0.2">
      <c r="A250">
        <v>249</v>
      </c>
      <c r="B250">
        <v>0</v>
      </c>
      <c r="C250">
        <v>0</v>
      </c>
      <c r="D250">
        <v>7</v>
      </c>
      <c r="E250">
        <v>10</v>
      </c>
      <c r="F250">
        <v>8</v>
      </c>
      <c r="G250">
        <v>25</v>
      </c>
    </row>
    <row r="251" spans="1:7" x14ac:dyDescent="0.2">
      <c r="A251">
        <v>250</v>
      </c>
      <c r="B251">
        <v>0</v>
      </c>
      <c r="C251">
        <v>0</v>
      </c>
      <c r="D251">
        <v>7</v>
      </c>
      <c r="E251">
        <v>10</v>
      </c>
      <c r="F251">
        <v>8</v>
      </c>
      <c r="G251">
        <v>25</v>
      </c>
    </row>
    <row r="252" spans="1:7" x14ac:dyDescent="0.2">
      <c r="A252">
        <v>251</v>
      </c>
      <c r="B252">
        <v>0</v>
      </c>
      <c r="C252">
        <v>0</v>
      </c>
      <c r="D252">
        <v>5</v>
      </c>
      <c r="E252">
        <v>10</v>
      </c>
      <c r="F252">
        <v>8</v>
      </c>
      <c r="G252">
        <v>23</v>
      </c>
    </row>
    <row r="253" spans="1:7" x14ac:dyDescent="0.2">
      <c r="A253">
        <v>252</v>
      </c>
      <c r="B253">
        <v>0</v>
      </c>
      <c r="C253">
        <v>0</v>
      </c>
      <c r="D253">
        <v>5</v>
      </c>
      <c r="E253">
        <v>10</v>
      </c>
      <c r="F253">
        <v>8</v>
      </c>
      <c r="G253">
        <v>23</v>
      </c>
    </row>
    <row r="254" spans="1:7" x14ac:dyDescent="0.2">
      <c r="A254">
        <v>253</v>
      </c>
      <c r="B254">
        <v>0</v>
      </c>
      <c r="C254">
        <v>0</v>
      </c>
      <c r="D254">
        <v>5</v>
      </c>
      <c r="E254">
        <v>10</v>
      </c>
      <c r="F254">
        <v>8</v>
      </c>
      <c r="G254">
        <v>23</v>
      </c>
    </row>
    <row r="255" spans="1:7" x14ac:dyDescent="0.2">
      <c r="A255">
        <v>254</v>
      </c>
      <c r="B255">
        <v>0</v>
      </c>
      <c r="C255">
        <v>0</v>
      </c>
      <c r="D255">
        <v>5</v>
      </c>
      <c r="E255">
        <v>10</v>
      </c>
      <c r="F255">
        <v>7</v>
      </c>
      <c r="G255">
        <v>22</v>
      </c>
    </row>
    <row r="256" spans="1:7" x14ac:dyDescent="0.2">
      <c r="A256">
        <v>255</v>
      </c>
      <c r="B256">
        <v>0</v>
      </c>
      <c r="C256">
        <v>0</v>
      </c>
      <c r="D256">
        <v>5</v>
      </c>
      <c r="E256">
        <v>10</v>
      </c>
      <c r="F256">
        <v>7</v>
      </c>
      <c r="G256">
        <v>22</v>
      </c>
    </row>
    <row r="257" spans="1:7" x14ac:dyDescent="0.2">
      <c r="A257">
        <v>256</v>
      </c>
      <c r="B257">
        <v>0</v>
      </c>
      <c r="C257">
        <v>0</v>
      </c>
      <c r="D257">
        <v>5</v>
      </c>
      <c r="E257">
        <v>10</v>
      </c>
      <c r="F257">
        <v>7</v>
      </c>
      <c r="G257">
        <v>22</v>
      </c>
    </row>
    <row r="258" spans="1:7" x14ac:dyDescent="0.2">
      <c r="A258">
        <v>257</v>
      </c>
      <c r="B258">
        <v>0</v>
      </c>
      <c r="C258">
        <v>0</v>
      </c>
      <c r="D258">
        <v>5</v>
      </c>
      <c r="E258">
        <v>10</v>
      </c>
      <c r="F258">
        <v>7</v>
      </c>
      <c r="G258">
        <v>22</v>
      </c>
    </row>
    <row r="259" spans="1:7" x14ac:dyDescent="0.2">
      <c r="A259">
        <v>258</v>
      </c>
      <c r="B259">
        <v>0</v>
      </c>
      <c r="C259">
        <v>0</v>
      </c>
      <c r="D259">
        <v>5</v>
      </c>
      <c r="E259">
        <v>10</v>
      </c>
      <c r="F259">
        <v>7</v>
      </c>
      <c r="G259">
        <v>22</v>
      </c>
    </row>
    <row r="260" spans="1:7" x14ac:dyDescent="0.2">
      <c r="A260">
        <v>259</v>
      </c>
      <c r="B260">
        <v>0</v>
      </c>
      <c r="C260">
        <v>3</v>
      </c>
      <c r="D260">
        <v>5</v>
      </c>
      <c r="E260">
        <v>10</v>
      </c>
      <c r="F260">
        <v>9</v>
      </c>
      <c r="G260">
        <v>27</v>
      </c>
    </row>
    <row r="261" spans="1:7" x14ac:dyDescent="0.2">
      <c r="A261">
        <v>260</v>
      </c>
      <c r="B261">
        <v>0</v>
      </c>
      <c r="C261">
        <v>3</v>
      </c>
      <c r="D261">
        <v>5</v>
      </c>
      <c r="E261">
        <v>10</v>
      </c>
      <c r="F261">
        <v>9</v>
      </c>
      <c r="G261">
        <v>27</v>
      </c>
    </row>
    <row r="262" spans="1:7" x14ac:dyDescent="0.2">
      <c r="A262">
        <v>261</v>
      </c>
      <c r="B262">
        <v>0</v>
      </c>
      <c r="C262">
        <v>3</v>
      </c>
      <c r="D262">
        <v>5</v>
      </c>
      <c r="E262">
        <v>10</v>
      </c>
      <c r="F262">
        <v>9</v>
      </c>
      <c r="G262">
        <v>27</v>
      </c>
    </row>
    <row r="263" spans="1:7" x14ac:dyDescent="0.2">
      <c r="A263">
        <v>262</v>
      </c>
      <c r="B263">
        <v>0</v>
      </c>
      <c r="C263">
        <v>3</v>
      </c>
      <c r="D263">
        <v>5</v>
      </c>
      <c r="E263">
        <v>10</v>
      </c>
      <c r="F263">
        <v>9</v>
      </c>
      <c r="G263">
        <v>27</v>
      </c>
    </row>
    <row r="264" spans="1:7" x14ac:dyDescent="0.2">
      <c r="A264">
        <v>263</v>
      </c>
      <c r="B264">
        <v>0</v>
      </c>
      <c r="C264">
        <v>3</v>
      </c>
      <c r="D264">
        <v>5</v>
      </c>
      <c r="E264">
        <v>10</v>
      </c>
      <c r="F264">
        <v>9</v>
      </c>
      <c r="G264">
        <v>27</v>
      </c>
    </row>
    <row r="265" spans="1:7" x14ac:dyDescent="0.2">
      <c r="A265">
        <v>264</v>
      </c>
      <c r="B265">
        <v>0</v>
      </c>
      <c r="C265">
        <v>3</v>
      </c>
      <c r="D265">
        <v>5</v>
      </c>
      <c r="E265">
        <v>10</v>
      </c>
      <c r="F265">
        <v>9</v>
      </c>
      <c r="G265">
        <v>27</v>
      </c>
    </row>
    <row r="266" spans="1:7" x14ac:dyDescent="0.2">
      <c r="A266">
        <v>265</v>
      </c>
      <c r="B266">
        <v>0</v>
      </c>
      <c r="C266">
        <v>3</v>
      </c>
      <c r="D266">
        <v>5</v>
      </c>
      <c r="E266">
        <v>10</v>
      </c>
      <c r="F266">
        <v>9</v>
      </c>
      <c r="G266">
        <v>27</v>
      </c>
    </row>
    <row r="267" spans="1:7" x14ac:dyDescent="0.2">
      <c r="A267">
        <v>266</v>
      </c>
      <c r="B267">
        <v>0</v>
      </c>
      <c r="C267">
        <v>3</v>
      </c>
      <c r="D267">
        <v>5</v>
      </c>
      <c r="E267">
        <v>10</v>
      </c>
      <c r="F267">
        <v>7</v>
      </c>
      <c r="G267">
        <v>25</v>
      </c>
    </row>
    <row r="268" spans="1:7" x14ac:dyDescent="0.2">
      <c r="A268">
        <v>267</v>
      </c>
      <c r="B268">
        <v>0</v>
      </c>
      <c r="C268">
        <v>3</v>
      </c>
      <c r="D268">
        <v>5</v>
      </c>
      <c r="E268">
        <v>10</v>
      </c>
      <c r="F268">
        <v>7</v>
      </c>
      <c r="G268">
        <v>25</v>
      </c>
    </row>
    <row r="269" spans="1:7" x14ac:dyDescent="0.2">
      <c r="A269">
        <v>268</v>
      </c>
      <c r="B269">
        <v>0</v>
      </c>
      <c r="C269">
        <v>3</v>
      </c>
      <c r="D269">
        <v>5</v>
      </c>
      <c r="E269">
        <v>10</v>
      </c>
      <c r="F269">
        <v>7</v>
      </c>
      <c r="G269">
        <v>25</v>
      </c>
    </row>
    <row r="270" spans="1:7" x14ac:dyDescent="0.2">
      <c r="A270">
        <v>269</v>
      </c>
      <c r="B270">
        <v>0</v>
      </c>
      <c r="C270">
        <v>3</v>
      </c>
      <c r="D270">
        <v>5</v>
      </c>
      <c r="E270">
        <v>10</v>
      </c>
      <c r="F270">
        <v>7</v>
      </c>
      <c r="G270">
        <v>25</v>
      </c>
    </row>
    <row r="271" spans="1:7" x14ac:dyDescent="0.2">
      <c r="A271">
        <v>270</v>
      </c>
      <c r="B271">
        <v>0</v>
      </c>
      <c r="C271">
        <v>3</v>
      </c>
      <c r="D271">
        <v>5</v>
      </c>
      <c r="E271">
        <v>10</v>
      </c>
      <c r="F271">
        <v>7</v>
      </c>
      <c r="G271">
        <v>25</v>
      </c>
    </row>
    <row r="272" spans="1:7" x14ac:dyDescent="0.2">
      <c r="A272">
        <v>271</v>
      </c>
      <c r="B272">
        <v>0</v>
      </c>
      <c r="C272">
        <v>3</v>
      </c>
      <c r="D272">
        <v>5</v>
      </c>
      <c r="E272">
        <v>10</v>
      </c>
      <c r="F272">
        <v>7</v>
      </c>
      <c r="G272">
        <v>25</v>
      </c>
    </row>
    <row r="273" spans="1:7" x14ac:dyDescent="0.2">
      <c r="A273">
        <v>272</v>
      </c>
      <c r="B273">
        <v>0</v>
      </c>
      <c r="C273">
        <v>3</v>
      </c>
      <c r="D273">
        <v>5</v>
      </c>
      <c r="E273">
        <v>10</v>
      </c>
      <c r="F273">
        <v>7</v>
      </c>
      <c r="G273">
        <v>25</v>
      </c>
    </row>
    <row r="274" spans="1:7" x14ac:dyDescent="0.2">
      <c r="A274">
        <v>273</v>
      </c>
      <c r="B274">
        <v>0</v>
      </c>
      <c r="C274">
        <v>3</v>
      </c>
      <c r="D274">
        <v>5</v>
      </c>
      <c r="E274">
        <v>10</v>
      </c>
      <c r="F274">
        <v>7</v>
      </c>
      <c r="G274">
        <v>25</v>
      </c>
    </row>
    <row r="275" spans="1:7" x14ac:dyDescent="0.2">
      <c r="A275">
        <v>274</v>
      </c>
      <c r="B275">
        <v>0</v>
      </c>
      <c r="C275">
        <v>3</v>
      </c>
      <c r="D275">
        <v>5</v>
      </c>
      <c r="E275">
        <v>10</v>
      </c>
      <c r="F275">
        <v>7</v>
      </c>
      <c r="G275">
        <v>25</v>
      </c>
    </row>
    <row r="276" spans="1:7" x14ac:dyDescent="0.2">
      <c r="A276">
        <v>275</v>
      </c>
      <c r="B276">
        <v>0</v>
      </c>
      <c r="C276">
        <v>3</v>
      </c>
      <c r="D276">
        <v>5</v>
      </c>
      <c r="E276">
        <v>10</v>
      </c>
      <c r="F276">
        <v>7</v>
      </c>
      <c r="G276">
        <v>25</v>
      </c>
    </row>
    <row r="277" spans="1:7" x14ac:dyDescent="0.2">
      <c r="A277">
        <v>276</v>
      </c>
      <c r="B277">
        <v>0</v>
      </c>
      <c r="C277">
        <v>3</v>
      </c>
      <c r="D277">
        <v>5</v>
      </c>
      <c r="E277">
        <v>10</v>
      </c>
      <c r="F277">
        <v>7</v>
      </c>
      <c r="G277">
        <v>25</v>
      </c>
    </row>
    <row r="278" spans="1:7" x14ac:dyDescent="0.2">
      <c r="A278">
        <v>277</v>
      </c>
      <c r="B278">
        <v>0</v>
      </c>
      <c r="C278">
        <v>3</v>
      </c>
      <c r="D278">
        <v>5</v>
      </c>
      <c r="E278">
        <v>10</v>
      </c>
      <c r="F278">
        <v>7</v>
      </c>
      <c r="G278">
        <v>25</v>
      </c>
    </row>
    <row r="279" spans="1:7" x14ac:dyDescent="0.2">
      <c r="A279">
        <v>278</v>
      </c>
      <c r="B279">
        <v>0</v>
      </c>
      <c r="C279">
        <v>3</v>
      </c>
      <c r="D279">
        <v>2</v>
      </c>
      <c r="E279">
        <v>10</v>
      </c>
      <c r="F279">
        <v>7</v>
      </c>
      <c r="G279">
        <v>22</v>
      </c>
    </row>
    <row r="280" spans="1:7" x14ac:dyDescent="0.2">
      <c r="A280">
        <v>279</v>
      </c>
      <c r="B280">
        <v>0</v>
      </c>
      <c r="C280">
        <v>3</v>
      </c>
      <c r="D280">
        <v>2</v>
      </c>
      <c r="E280">
        <v>10</v>
      </c>
      <c r="F280">
        <v>7</v>
      </c>
      <c r="G280">
        <v>22</v>
      </c>
    </row>
    <row r="281" spans="1:7" x14ac:dyDescent="0.2">
      <c r="A281">
        <v>280</v>
      </c>
      <c r="B281">
        <v>0</v>
      </c>
      <c r="C281">
        <v>3</v>
      </c>
      <c r="D281">
        <v>2</v>
      </c>
      <c r="E281">
        <v>10</v>
      </c>
      <c r="F281">
        <v>7</v>
      </c>
      <c r="G281">
        <v>22</v>
      </c>
    </row>
    <row r="282" spans="1:7" x14ac:dyDescent="0.2">
      <c r="A282">
        <v>281</v>
      </c>
      <c r="B282">
        <v>0</v>
      </c>
      <c r="C282">
        <v>3</v>
      </c>
      <c r="D282">
        <v>2</v>
      </c>
      <c r="E282">
        <v>10</v>
      </c>
      <c r="F282">
        <v>7</v>
      </c>
      <c r="G282">
        <v>22</v>
      </c>
    </row>
    <row r="283" spans="1:7" x14ac:dyDescent="0.2">
      <c r="A283">
        <v>282</v>
      </c>
      <c r="B283">
        <v>0</v>
      </c>
      <c r="C283">
        <v>3</v>
      </c>
      <c r="D283">
        <v>2</v>
      </c>
      <c r="E283">
        <v>10</v>
      </c>
      <c r="F283">
        <v>7</v>
      </c>
      <c r="G283">
        <v>22</v>
      </c>
    </row>
    <row r="284" spans="1:7" x14ac:dyDescent="0.2">
      <c r="A284">
        <v>283</v>
      </c>
      <c r="B284">
        <v>0</v>
      </c>
      <c r="C284">
        <v>3</v>
      </c>
      <c r="D284">
        <v>2</v>
      </c>
      <c r="E284">
        <v>10</v>
      </c>
      <c r="F284">
        <v>7</v>
      </c>
      <c r="G284">
        <v>22</v>
      </c>
    </row>
    <row r="285" spans="1:7" x14ac:dyDescent="0.2">
      <c r="A285">
        <v>284</v>
      </c>
      <c r="B285">
        <v>0</v>
      </c>
      <c r="C285">
        <v>3</v>
      </c>
      <c r="D285">
        <v>2</v>
      </c>
      <c r="E285">
        <v>10</v>
      </c>
      <c r="F285">
        <v>7</v>
      </c>
      <c r="G285">
        <v>22</v>
      </c>
    </row>
    <row r="286" spans="1:7" x14ac:dyDescent="0.2">
      <c r="A286">
        <v>285</v>
      </c>
      <c r="B286">
        <v>0</v>
      </c>
      <c r="C286">
        <v>3</v>
      </c>
      <c r="D286">
        <v>2</v>
      </c>
      <c r="E286">
        <v>10</v>
      </c>
      <c r="F286">
        <v>8</v>
      </c>
      <c r="G286">
        <v>23</v>
      </c>
    </row>
    <row r="287" spans="1:7" x14ac:dyDescent="0.2">
      <c r="A287">
        <v>286</v>
      </c>
      <c r="B287">
        <v>0</v>
      </c>
      <c r="C287">
        <v>3</v>
      </c>
      <c r="D287">
        <v>2</v>
      </c>
      <c r="E287">
        <v>10</v>
      </c>
      <c r="F287">
        <v>8</v>
      </c>
      <c r="G287">
        <v>23</v>
      </c>
    </row>
    <row r="288" spans="1:7" x14ac:dyDescent="0.2">
      <c r="A288">
        <v>287</v>
      </c>
      <c r="B288">
        <v>0</v>
      </c>
      <c r="C288">
        <v>3</v>
      </c>
      <c r="D288">
        <v>2</v>
      </c>
      <c r="E288">
        <v>10</v>
      </c>
      <c r="F288">
        <v>8</v>
      </c>
      <c r="G288">
        <v>23</v>
      </c>
    </row>
    <row r="289" spans="1:7" x14ac:dyDescent="0.2">
      <c r="A289">
        <v>288</v>
      </c>
      <c r="B289">
        <v>0</v>
      </c>
      <c r="C289">
        <v>3</v>
      </c>
      <c r="D289">
        <v>2</v>
      </c>
      <c r="E289">
        <v>10</v>
      </c>
      <c r="F289">
        <v>8</v>
      </c>
      <c r="G289">
        <v>23</v>
      </c>
    </row>
    <row r="290" spans="1:7" x14ac:dyDescent="0.2">
      <c r="A290">
        <v>289</v>
      </c>
      <c r="B290">
        <v>0</v>
      </c>
      <c r="C290">
        <v>3</v>
      </c>
      <c r="D290">
        <v>2</v>
      </c>
      <c r="E290">
        <v>10</v>
      </c>
      <c r="F290">
        <v>8</v>
      </c>
      <c r="G290">
        <v>23</v>
      </c>
    </row>
    <row r="291" spans="1:7" x14ac:dyDescent="0.2">
      <c r="A291">
        <v>290</v>
      </c>
      <c r="B291">
        <v>0</v>
      </c>
      <c r="C291">
        <v>3</v>
      </c>
      <c r="D291">
        <v>2</v>
      </c>
      <c r="E291">
        <v>10</v>
      </c>
      <c r="F291">
        <v>8</v>
      </c>
      <c r="G291">
        <v>23</v>
      </c>
    </row>
    <row r="292" spans="1:7" x14ac:dyDescent="0.2">
      <c r="A292">
        <v>291</v>
      </c>
      <c r="B292">
        <v>0</v>
      </c>
      <c r="C292">
        <v>3</v>
      </c>
      <c r="D292">
        <v>2</v>
      </c>
      <c r="E292">
        <v>10</v>
      </c>
      <c r="F292">
        <v>8</v>
      </c>
      <c r="G292">
        <v>23</v>
      </c>
    </row>
    <row r="293" spans="1:7" x14ac:dyDescent="0.2">
      <c r="A293">
        <v>292</v>
      </c>
      <c r="B293">
        <v>0</v>
      </c>
      <c r="C293">
        <v>3</v>
      </c>
      <c r="D293">
        <v>2</v>
      </c>
      <c r="E293">
        <v>10</v>
      </c>
      <c r="F293">
        <v>8</v>
      </c>
      <c r="G293">
        <v>23</v>
      </c>
    </row>
    <row r="294" spans="1:7" x14ac:dyDescent="0.2">
      <c r="A294">
        <v>293</v>
      </c>
      <c r="B294">
        <v>0</v>
      </c>
      <c r="C294">
        <v>3</v>
      </c>
      <c r="D294">
        <v>2</v>
      </c>
      <c r="E294">
        <v>10</v>
      </c>
      <c r="F294">
        <v>8</v>
      </c>
      <c r="G294">
        <v>23</v>
      </c>
    </row>
    <row r="295" spans="1:7" x14ac:dyDescent="0.2">
      <c r="A295">
        <v>294</v>
      </c>
      <c r="B295">
        <v>0</v>
      </c>
      <c r="C295">
        <v>3</v>
      </c>
      <c r="D295">
        <v>2</v>
      </c>
      <c r="E295">
        <v>10</v>
      </c>
      <c r="F295">
        <v>8</v>
      </c>
      <c r="G295">
        <v>23</v>
      </c>
    </row>
    <row r="296" spans="1:7" x14ac:dyDescent="0.2">
      <c r="A296">
        <v>295</v>
      </c>
      <c r="B296">
        <v>0</v>
      </c>
      <c r="C296">
        <v>3</v>
      </c>
      <c r="D296">
        <v>2</v>
      </c>
      <c r="E296">
        <v>10</v>
      </c>
      <c r="F296">
        <v>8</v>
      </c>
      <c r="G296">
        <v>23</v>
      </c>
    </row>
    <row r="297" spans="1:7" x14ac:dyDescent="0.2">
      <c r="A297">
        <v>296</v>
      </c>
      <c r="B297">
        <v>0</v>
      </c>
      <c r="C297">
        <v>6</v>
      </c>
      <c r="D297">
        <v>2</v>
      </c>
      <c r="E297">
        <v>10</v>
      </c>
      <c r="F297">
        <v>7</v>
      </c>
      <c r="G297">
        <v>25</v>
      </c>
    </row>
    <row r="298" spans="1:7" x14ac:dyDescent="0.2">
      <c r="A298">
        <v>297</v>
      </c>
      <c r="B298">
        <v>0</v>
      </c>
      <c r="C298">
        <v>6</v>
      </c>
      <c r="D298">
        <v>2</v>
      </c>
      <c r="E298">
        <v>10</v>
      </c>
      <c r="F298">
        <v>7</v>
      </c>
      <c r="G298">
        <v>25</v>
      </c>
    </row>
    <row r="299" spans="1:7" x14ac:dyDescent="0.2">
      <c r="A299">
        <v>298</v>
      </c>
      <c r="B299">
        <v>0</v>
      </c>
      <c r="C299">
        <v>6</v>
      </c>
      <c r="D299">
        <v>2</v>
      </c>
      <c r="E299">
        <v>10</v>
      </c>
      <c r="F299">
        <v>6</v>
      </c>
      <c r="G299">
        <v>24</v>
      </c>
    </row>
    <row r="300" spans="1:7" x14ac:dyDescent="0.2">
      <c r="A300">
        <v>299</v>
      </c>
      <c r="B300">
        <v>0</v>
      </c>
      <c r="C300">
        <v>6</v>
      </c>
      <c r="D300">
        <v>2</v>
      </c>
      <c r="E300">
        <v>10</v>
      </c>
      <c r="F300">
        <v>5</v>
      </c>
      <c r="G300">
        <v>23</v>
      </c>
    </row>
    <row r="301" spans="1:7" x14ac:dyDescent="0.2">
      <c r="A301">
        <v>300</v>
      </c>
      <c r="B301">
        <v>0</v>
      </c>
      <c r="C301">
        <v>6</v>
      </c>
      <c r="D301">
        <v>2</v>
      </c>
      <c r="E301">
        <v>10</v>
      </c>
      <c r="F301">
        <v>5</v>
      </c>
      <c r="G301">
        <v>23</v>
      </c>
    </row>
    <row r="302" spans="1:7" x14ac:dyDescent="0.2">
      <c r="A302">
        <v>301</v>
      </c>
      <c r="B302">
        <v>0</v>
      </c>
      <c r="C302">
        <v>9</v>
      </c>
      <c r="D302">
        <v>2</v>
      </c>
      <c r="E302">
        <v>10</v>
      </c>
      <c r="F302">
        <v>5</v>
      </c>
      <c r="G302">
        <v>26</v>
      </c>
    </row>
    <row r="303" spans="1:7" x14ac:dyDescent="0.2">
      <c r="A303">
        <v>302</v>
      </c>
      <c r="B303">
        <v>0</v>
      </c>
      <c r="C303">
        <v>9</v>
      </c>
      <c r="D303">
        <v>2</v>
      </c>
      <c r="E303">
        <v>10</v>
      </c>
      <c r="F303">
        <v>5</v>
      </c>
      <c r="G303">
        <v>26</v>
      </c>
    </row>
    <row r="304" spans="1:7" x14ac:dyDescent="0.2">
      <c r="A304">
        <v>303</v>
      </c>
      <c r="B304">
        <v>0</v>
      </c>
      <c r="C304">
        <v>9</v>
      </c>
      <c r="D304">
        <v>2</v>
      </c>
      <c r="E304">
        <v>10</v>
      </c>
      <c r="F304">
        <v>5</v>
      </c>
      <c r="G304">
        <v>26</v>
      </c>
    </row>
    <row r="305" spans="1:7" x14ac:dyDescent="0.2">
      <c r="A305">
        <v>304</v>
      </c>
      <c r="B305">
        <v>0</v>
      </c>
      <c r="C305">
        <v>9</v>
      </c>
      <c r="D305">
        <v>2</v>
      </c>
      <c r="E305">
        <v>9</v>
      </c>
      <c r="F305">
        <v>5</v>
      </c>
      <c r="G305">
        <v>25</v>
      </c>
    </row>
    <row r="306" spans="1:7" x14ac:dyDescent="0.2">
      <c r="A306">
        <v>305</v>
      </c>
      <c r="B306">
        <v>0</v>
      </c>
      <c r="C306">
        <v>9</v>
      </c>
      <c r="D306">
        <v>2</v>
      </c>
      <c r="E306">
        <v>9</v>
      </c>
      <c r="F306">
        <v>7</v>
      </c>
      <c r="G306">
        <v>27</v>
      </c>
    </row>
    <row r="307" spans="1:7" x14ac:dyDescent="0.2">
      <c r="A307">
        <v>306</v>
      </c>
      <c r="B307">
        <v>0</v>
      </c>
      <c r="C307">
        <v>9</v>
      </c>
      <c r="D307">
        <v>2</v>
      </c>
      <c r="E307">
        <v>9</v>
      </c>
      <c r="F307">
        <v>7</v>
      </c>
      <c r="G307">
        <v>27</v>
      </c>
    </row>
    <row r="308" spans="1:7" x14ac:dyDescent="0.2">
      <c r="A308">
        <v>307</v>
      </c>
      <c r="B308">
        <v>0</v>
      </c>
      <c r="C308">
        <v>9</v>
      </c>
      <c r="D308">
        <v>2</v>
      </c>
      <c r="E308">
        <v>8</v>
      </c>
      <c r="F308">
        <v>7</v>
      </c>
      <c r="G308">
        <v>26</v>
      </c>
    </row>
    <row r="309" spans="1:7" x14ac:dyDescent="0.2">
      <c r="A309">
        <v>308</v>
      </c>
      <c r="B309">
        <v>0</v>
      </c>
      <c r="C309">
        <v>9</v>
      </c>
      <c r="D309">
        <v>2</v>
      </c>
      <c r="E309">
        <v>7</v>
      </c>
      <c r="F309">
        <v>7</v>
      </c>
      <c r="G309">
        <v>25</v>
      </c>
    </row>
    <row r="310" spans="1:7" x14ac:dyDescent="0.2">
      <c r="A310">
        <v>309</v>
      </c>
      <c r="B310">
        <v>0</v>
      </c>
      <c r="C310">
        <v>9</v>
      </c>
      <c r="D310">
        <v>2</v>
      </c>
      <c r="E310">
        <v>7</v>
      </c>
      <c r="F310">
        <v>7</v>
      </c>
      <c r="G310">
        <v>25</v>
      </c>
    </row>
    <row r="311" spans="1:7" x14ac:dyDescent="0.2">
      <c r="A311">
        <v>310</v>
      </c>
      <c r="B311">
        <v>0</v>
      </c>
      <c r="C311">
        <v>9</v>
      </c>
      <c r="D311">
        <v>2</v>
      </c>
      <c r="E311">
        <v>7</v>
      </c>
      <c r="F311">
        <v>7</v>
      </c>
      <c r="G311">
        <v>25</v>
      </c>
    </row>
    <row r="312" spans="1:7" x14ac:dyDescent="0.2">
      <c r="A312">
        <v>311</v>
      </c>
      <c r="B312">
        <v>0</v>
      </c>
      <c r="C312">
        <v>9</v>
      </c>
      <c r="D312">
        <v>2</v>
      </c>
      <c r="E312">
        <v>7</v>
      </c>
      <c r="F312">
        <v>7</v>
      </c>
      <c r="G312">
        <v>25</v>
      </c>
    </row>
    <row r="313" spans="1:7" x14ac:dyDescent="0.2">
      <c r="A313">
        <v>312</v>
      </c>
      <c r="B313">
        <v>0</v>
      </c>
      <c r="C313">
        <v>9</v>
      </c>
      <c r="D313">
        <v>2</v>
      </c>
      <c r="E313">
        <v>7</v>
      </c>
      <c r="F313">
        <v>7</v>
      </c>
      <c r="G313">
        <v>25</v>
      </c>
    </row>
    <row r="314" spans="1:7" x14ac:dyDescent="0.2">
      <c r="A314">
        <v>313</v>
      </c>
      <c r="B314">
        <v>0</v>
      </c>
      <c r="C314">
        <v>9</v>
      </c>
      <c r="D314">
        <v>2</v>
      </c>
      <c r="E314">
        <v>7</v>
      </c>
      <c r="F314">
        <v>7</v>
      </c>
      <c r="G314">
        <v>25</v>
      </c>
    </row>
    <row r="315" spans="1:7" x14ac:dyDescent="0.2">
      <c r="A315">
        <v>314</v>
      </c>
      <c r="B315">
        <v>0</v>
      </c>
      <c r="C315">
        <v>9</v>
      </c>
      <c r="D315">
        <v>2</v>
      </c>
      <c r="E315">
        <v>7</v>
      </c>
      <c r="F315">
        <v>7</v>
      </c>
      <c r="G315">
        <v>25</v>
      </c>
    </row>
    <row r="316" spans="1:7" x14ac:dyDescent="0.2">
      <c r="A316">
        <v>315</v>
      </c>
      <c r="B316">
        <v>0</v>
      </c>
      <c r="C316">
        <v>9</v>
      </c>
      <c r="D316">
        <v>2</v>
      </c>
      <c r="E316">
        <v>9</v>
      </c>
      <c r="F316">
        <v>7</v>
      </c>
      <c r="G316">
        <v>27</v>
      </c>
    </row>
    <row r="317" spans="1:7" x14ac:dyDescent="0.2">
      <c r="A317">
        <v>316</v>
      </c>
      <c r="B317">
        <v>0</v>
      </c>
      <c r="C317">
        <v>9</v>
      </c>
      <c r="D317">
        <v>4</v>
      </c>
      <c r="E317">
        <v>9</v>
      </c>
      <c r="F317">
        <v>7</v>
      </c>
      <c r="G317">
        <v>29</v>
      </c>
    </row>
    <row r="318" spans="1:7" x14ac:dyDescent="0.2">
      <c r="A318">
        <v>317</v>
      </c>
      <c r="B318">
        <v>0</v>
      </c>
      <c r="C318">
        <v>9</v>
      </c>
      <c r="D318">
        <v>4</v>
      </c>
      <c r="E318">
        <v>9</v>
      </c>
      <c r="F318">
        <v>7</v>
      </c>
      <c r="G318">
        <v>29</v>
      </c>
    </row>
    <row r="319" spans="1:7" x14ac:dyDescent="0.2">
      <c r="A319">
        <v>318</v>
      </c>
      <c r="B319">
        <v>0</v>
      </c>
      <c r="C319">
        <v>9</v>
      </c>
      <c r="D319">
        <v>4</v>
      </c>
      <c r="E319">
        <v>9</v>
      </c>
      <c r="F319">
        <v>7</v>
      </c>
      <c r="G319">
        <v>29</v>
      </c>
    </row>
    <row r="320" spans="1:7" x14ac:dyDescent="0.2">
      <c r="A320">
        <v>319</v>
      </c>
      <c r="B320">
        <v>0</v>
      </c>
      <c r="C320">
        <v>6</v>
      </c>
      <c r="D320">
        <v>4</v>
      </c>
      <c r="E320">
        <v>8</v>
      </c>
      <c r="F320">
        <v>7</v>
      </c>
      <c r="G320">
        <v>25</v>
      </c>
    </row>
    <row r="321" spans="1:7" x14ac:dyDescent="0.2">
      <c r="A321">
        <v>320</v>
      </c>
      <c r="B321">
        <v>0</v>
      </c>
      <c r="C321">
        <v>6</v>
      </c>
      <c r="D321">
        <v>4</v>
      </c>
      <c r="E321">
        <v>8</v>
      </c>
      <c r="F321">
        <v>7</v>
      </c>
      <c r="G321">
        <v>25</v>
      </c>
    </row>
    <row r="322" spans="1:7" x14ac:dyDescent="0.2">
      <c r="A322">
        <v>321</v>
      </c>
      <c r="B322">
        <v>0</v>
      </c>
      <c r="C322">
        <v>6</v>
      </c>
      <c r="D322">
        <v>4</v>
      </c>
      <c r="E322">
        <v>8</v>
      </c>
      <c r="F322">
        <v>7</v>
      </c>
      <c r="G322">
        <v>25</v>
      </c>
    </row>
    <row r="323" spans="1:7" x14ac:dyDescent="0.2">
      <c r="A323">
        <v>322</v>
      </c>
      <c r="B323">
        <v>0</v>
      </c>
      <c r="C323">
        <v>6</v>
      </c>
      <c r="D323">
        <v>4</v>
      </c>
      <c r="E323">
        <v>9</v>
      </c>
      <c r="F323">
        <v>7</v>
      </c>
      <c r="G323">
        <v>26</v>
      </c>
    </row>
    <row r="324" spans="1:7" x14ac:dyDescent="0.2">
      <c r="A324">
        <v>323</v>
      </c>
      <c r="B324">
        <v>0</v>
      </c>
      <c r="C324">
        <v>6</v>
      </c>
      <c r="D324">
        <v>4</v>
      </c>
      <c r="E324">
        <v>9</v>
      </c>
      <c r="F324">
        <v>7</v>
      </c>
      <c r="G324">
        <v>26</v>
      </c>
    </row>
    <row r="325" spans="1:7" x14ac:dyDescent="0.2">
      <c r="A325">
        <v>324</v>
      </c>
      <c r="B325">
        <v>0</v>
      </c>
      <c r="C325">
        <v>6</v>
      </c>
      <c r="D325">
        <v>4</v>
      </c>
      <c r="E325">
        <v>9</v>
      </c>
      <c r="F325">
        <v>7</v>
      </c>
      <c r="G325">
        <v>26</v>
      </c>
    </row>
    <row r="326" spans="1:7" x14ac:dyDescent="0.2">
      <c r="A326">
        <v>325</v>
      </c>
      <c r="B326">
        <v>0</v>
      </c>
      <c r="C326">
        <v>6</v>
      </c>
      <c r="D326">
        <v>4</v>
      </c>
      <c r="E326">
        <v>10</v>
      </c>
      <c r="F326">
        <v>7</v>
      </c>
      <c r="G326">
        <v>27</v>
      </c>
    </row>
    <row r="327" spans="1:7" x14ac:dyDescent="0.2">
      <c r="A327">
        <v>326</v>
      </c>
      <c r="B327">
        <v>0</v>
      </c>
      <c r="C327">
        <v>3</v>
      </c>
      <c r="D327">
        <v>5</v>
      </c>
      <c r="E327">
        <v>10</v>
      </c>
      <c r="F327">
        <v>7</v>
      </c>
      <c r="G327">
        <v>25</v>
      </c>
    </row>
    <row r="328" spans="1:7" x14ac:dyDescent="0.2">
      <c r="A328">
        <v>327</v>
      </c>
      <c r="B328">
        <v>0</v>
      </c>
      <c r="C328">
        <v>3</v>
      </c>
      <c r="D328">
        <v>5</v>
      </c>
      <c r="E328">
        <v>13</v>
      </c>
      <c r="F328">
        <v>7</v>
      </c>
      <c r="G328">
        <v>28</v>
      </c>
    </row>
    <row r="329" spans="1:7" x14ac:dyDescent="0.2">
      <c r="A329">
        <v>328</v>
      </c>
      <c r="B329">
        <v>0</v>
      </c>
      <c r="C329">
        <v>3</v>
      </c>
      <c r="D329">
        <v>5</v>
      </c>
      <c r="E329">
        <v>12</v>
      </c>
      <c r="F329">
        <v>7</v>
      </c>
      <c r="G329">
        <v>27</v>
      </c>
    </row>
    <row r="330" spans="1:7" x14ac:dyDescent="0.2">
      <c r="A330">
        <v>329</v>
      </c>
      <c r="B330">
        <v>0</v>
      </c>
      <c r="C330">
        <v>3</v>
      </c>
      <c r="D330">
        <v>5</v>
      </c>
      <c r="E330">
        <v>12</v>
      </c>
      <c r="F330">
        <v>7</v>
      </c>
      <c r="G330">
        <v>27</v>
      </c>
    </row>
    <row r="331" spans="1:7" x14ac:dyDescent="0.2">
      <c r="A331">
        <v>330</v>
      </c>
      <c r="B331">
        <v>0</v>
      </c>
      <c r="C331">
        <v>3</v>
      </c>
      <c r="D331">
        <v>5</v>
      </c>
      <c r="E331">
        <v>10</v>
      </c>
      <c r="F331">
        <v>7</v>
      </c>
      <c r="G331">
        <v>25</v>
      </c>
    </row>
    <row r="332" spans="1:7" x14ac:dyDescent="0.2">
      <c r="A332">
        <v>331</v>
      </c>
      <c r="B332" s="39">
        <v>8</v>
      </c>
      <c r="C332">
        <v>0</v>
      </c>
      <c r="D332">
        <v>3</v>
      </c>
      <c r="E332">
        <v>9</v>
      </c>
      <c r="F332">
        <v>7</v>
      </c>
      <c r="G332">
        <v>27</v>
      </c>
    </row>
    <row r="333" spans="1:7" x14ac:dyDescent="0.2">
      <c r="A333">
        <v>332</v>
      </c>
      <c r="B333" s="39">
        <v>8</v>
      </c>
      <c r="C333">
        <v>0</v>
      </c>
      <c r="D333">
        <v>3</v>
      </c>
      <c r="E333">
        <v>9</v>
      </c>
      <c r="F333">
        <v>7</v>
      </c>
      <c r="G333">
        <v>27</v>
      </c>
    </row>
    <row r="334" spans="1:7" x14ac:dyDescent="0.2">
      <c r="A334">
        <v>333</v>
      </c>
      <c r="B334" s="39">
        <v>8</v>
      </c>
      <c r="C334">
        <v>0</v>
      </c>
      <c r="D334">
        <v>3</v>
      </c>
      <c r="E334">
        <v>9</v>
      </c>
      <c r="F334">
        <v>7</v>
      </c>
      <c r="G334">
        <v>27</v>
      </c>
    </row>
    <row r="335" spans="1:7" x14ac:dyDescent="0.2">
      <c r="A335">
        <v>334</v>
      </c>
      <c r="B335" s="39">
        <v>8</v>
      </c>
      <c r="C335">
        <v>0</v>
      </c>
      <c r="D335">
        <v>5</v>
      </c>
      <c r="E335">
        <v>9</v>
      </c>
      <c r="F335">
        <v>7</v>
      </c>
      <c r="G335">
        <v>29</v>
      </c>
    </row>
    <row r="336" spans="1:7" x14ac:dyDescent="0.2">
      <c r="A336">
        <v>335</v>
      </c>
      <c r="B336" s="39">
        <v>8</v>
      </c>
      <c r="C336">
        <v>0</v>
      </c>
      <c r="D336">
        <v>5</v>
      </c>
      <c r="E336">
        <v>9</v>
      </c>
      <c r="F336">
        <v>7</v>
      </c>
      <c r="G336">
        <v>29</v>
      </c>
    </row>
    <row r="337" spans="1:7" x14ac:dyDescent="0.2">
      <c r="A337">
        <v>336</v>
      </c>
      <c r="B337" s="39">
        <v>8</v>
      </c>
      <c r="C337">
        <v>0</v>
      </c>
      <c r="D337">
        <v>5</v>
      </c>
      <c r="E337">
        <v>9</v>
      </c>
      <c r="F337">
        <v>7</v>
      </c>
      <c r="G337">
        <v>29</v>
      </c>
    </row>
    <row r="338" spans="1:7" x14ac:dyDescent="0.2">
      <c r="A338">
        <v>337</v>
      </c>
      <c r="B338" s="39">
        <v>8</v>
      </c>
      <c r="C338">
        <v>0</v>
      </c>
      <c r="D338">
        <v>5</v>
      </c>
      <c r="E338">
        <v>9</v>
      </c>
      <c r="F338">
        <v>7</v>
      </c>
      <c r="G338">
        <v>29</v>
      </c>
    </row>
    <row r="339" spans="1:7" x14ac:dyDescent="0.2">
      <c r="A339">
        <v>338</v>
      </c>
      <c r="B339" s="39">
        <v>8</v>
      </c>
      <c r="C339">
        <v>0</v>
      </c>
      <c r="D339">
        <v>5</v>
      </c>
      <c r="E339">
        <v>10</v>
      </c>
      <c r="F339">
        <v>7</v>
      </c>
      <c r="G339">
        <v>30</v>
      </c>
    </row>
    <row r="340" spans="1:7" x14ac:dyDescent="0.2">
      <c r="A340">
        <v>339</v>
      </c>
      <c r="B340" s="39">
        <v>8</v>
      </c>
      <c r="C340">
        <v>0</v>
      </c>
      <c r="D340">
        <v>5</v>
      </c>
      <c r="E340">
        <v>10</v>
      </c>
      <c r="F340">
        <v>7</v>
      </c>
      <c r="G340">
        <v>30</v>
      </c>
    </row>
    <row r="341" spans="1:7" x14ac:dyDescent="0.2">
      <c r="A341">
        <v>340</v>
      </c>
      <c r="B341" s="39">
        <v>8</v>
      </c>
      <c r="C341">
        <v>0</v>
      </c>
      <c r="D341">
        <v>5</v>
      </c>
      <c r="E341">
        <v>10</v>
      </c>
      <c r="F341">
        <v>8</v>
      </c>
      <c r="G341">
        <v>31</v>
      </c>
    </row>
    <row r="342" spans="1:7" x14ac:dyDescent="0.2">
      <c r="A342">
        <v>341</v>
      </c>
      <c r="B342" s="39">
        <v>8</v>
      </c>
      <c r="C342">
        <v>0</v>
      </c>
      <c r="D342">
        <v>5</v>
      </c>
      <c r="E342">
        <v>10</v>
      </c>
      <c r="F342">
        <v>8</v>
      </c>
      <c r="G342">
        <v>31</v>
      </c>
    </row>
    <row r="343" spans="1:7" x14ac:dyDescent="0.2">
      <c r="A343">
        <v>342</v>
      </c>
      <c r="B343" s="39">
        <v>8</v>
      </c>
      <c r="C343">
        <v>0</v>
      </c>
      <c r="D343">
        <v>5</v>
      </c>
      <c r="E343">
        <v>7</v>
      </c>
      <c r="F343">
        <v>8</v>
      </c>
      <c r="G343">
        <v>28</v>
      </c>
    </row>
    <row r="344" spans="1:7" x14ac:dyDescent="0.2">
      <c r="A344">
        <v>343</v>
      </c>
      <c r="B344" s="39">
        <v>8</v>
      </c>
      <c r="C344">
        <v>0</v>
      </c>
      <c r="D344">
        <v>5</v>
      </c>
      <c r="E344">
        <v>7</v>
      </c>
      <c r="F344">
        <v>8</v>
      </c>
      <c r="G344">
        <v>28</v>
      </c>
    </row>
    <row r="345" spans="1:7" x14ac:dyDescent="0.2">
      <c r="A345">
        <v>344</v>
      </c>
      <c r="B345" s="39">
        <v>8</v>
      </c>
      <c r="C345">
        <v>0</v>
      </c>
      <c r="D345">
        <v>5</v>
      </c>
      <c r="E345">
        <v>7</v>
      </c>
      <c r="F345">
        <v>8</v>
      </c>
      <c r="G345">
        <v>28</v>
      </c>
    </row>
    <row r="346" spans="1:7" x14ac:dyDescent="0.2">
      <c r="A346">
        <v>345</v>
      </c>
      <c r="B346" s="39">
        <v>8</v>
      </c>
      <c r="C346">
        <v>0</v>
      </c>
      <c r="D346">
        <v>5</v>
      </c>
      <c r="E346">
        <v>7</v>
      </c>
      <c r="F346">
        <v>8</v>
      </c>
      <c r="G346">
        <v>28</v>
      </c>
    </row>
    <row r="347" spans="1:7" x14ac:dyDescent="0.2">
      <c r="A347">
        <v>346</v>
      </c>
      <c r="B347">
        <v>0</v>
      </c>
      <c r="C347">
        <v>0</v>
      </c>
      <c r="D347">
        <v>5</v>
      </c>
      <c r="E347">
        <v>7</v>
      </c>
      <c r="F347">
        <v>8</v>
      </c>
      <c r="G347">
        <v>20</v>
      </c>
    </row>
    <row r="348" spans="1:7" x14ac:dyDescent="0.2">
      <c r="A348">
        <v>347</v>
      </c>
      <c r="B348">
        <v>0</v>
      </c>
      <c r="C348">
        <v>0</v>
      </c>
      <c r="D348">
        <v>5</v>
      </c>
      <c r="E348">
        <v>8</v>
      </c>
      <c r="F348">
        <v>8</v>
      </c>
      <c r="G348">
        <v>21</v>
      </c>
    </row>
    <row r="349" spans="1:7" x14ac:dyDescent="0.2">
      <c r="A349">
        <v>348</v>
      </c>
      <c r="B349">
        <v>0</v>
      </c>
      <c r="C349">
        <v>0</v>
      </c>
      <c r="D349">
        <v>5</v>
      </c>
      <c r="E349">
        <v>10</v>
      </c>
      <c r="F349">
        <v>8</v>
      </c>
      <c r="G349">
        <v>23</v>
      </c>
    </row>
    <row r="350" spans="1:7" x14ac:dyDescent="0.2">
      <c r="A350">
        <v>349</v>
      </c>
      <c r="B350">
        <v>0</v>
      </c>
      <c r="C350">
        <v>0</v>
      </c>
      <c r="D350">
        <v>11</v>
      </c>
      <c r="E350">
        <v>10</v>
      </c>
      <c r="F350">
        <v>8</v>
      </c>
      <c r="G350">
        <v>29</v>
      </c>
    </row>
    <row r="351" spans="1:7" x14ac:dyDescent="0.2">
      <c r="A351">
        <v>350</v>
      </c>
      <c r="B351">
        <v>0</v>
      </c>
      <c r="C351">
        <v>0</v>
      </c>
      <c r="D351">
        <v>11</v>
      </c>
      <c r="E351">
        <v>10</v>
      </c>
      <c r="F351">
        <v>8</v>
      </c>
      <c r="G351">
        <v>29</v>
      </c>
    </row>
    <row r="352" spans="1:7" x14ac:dyDescent="0.2">
      <c r="A352">
        <v>351</v>
      </c>
      <c r="B352">
        <v>0</v>
      </c>
      <c r="C352">
        <v>0</v>
      </c>
      <c r="D352">
        <v>11</v>
      </c>
      <c r="E352">
        <v>10</v>
      </c>
      <c r="F352">
        <v>8</v>
      </c>
      <c r="G352">
        <v>29</v>
      </c>
    </row>
    <row r="353" spans="1:7" x14ac:dyDescent="0.2">
      <c r="A353">
        <v>352</v>
      </c>
      <c r="B353">
        <v>0</v>
      </c>
      <c r="C353">
        <v>0</v>
      </c>
      <c r="D353">
        <v>11</v>
      </c>
      <c r="E353">
        <v>10</v>
      </c>
      <c r="F353">
        <v>8</v>
      </c>
      <c r="G353">
        <v>29</v>
      </c>
    </row>
    <row r="354" spans="1:7" x14ac:dyDescent="0.2">
      <c r="A354">
        <v>353</v>
      </c>
      <c r="B354">
        <v>0</v>
      </c>
      <c r="C354">
        <v>0</v>
      </c>
      <c r="D354">
        <v>11</v>
      </c>
      <c r="E354">
        <v>10</v>
      </c>
      <c r="F354">
        <v>8</v>
      </c>
      <c r="G354">
        <v>29</v>
      </c>
    </row>
    <row r="355" spans="1:7" x14ac:dyDescent="0.2">
      <c r="A355">
        <v>354</v>
      </c>
      <c r="B355">
        <v>0</v>
      </c>
      <c r="C355">
        <v>0</v>
      </c>
      <c r="D355">
        <v>11</v>
      </c>
      <c r="E355">
        <v>10</v>
      </c>
      <c r="F355">
        <v>8</v>
      </c>
      <c r="G355">
        <v>29</v>
      </c>
    </row>
    <row r="356" spans="1:7" x14ac:dyDescent="0.2">
      <c r="A356">
        <v>355</v>
      </c>
      <c r="B356">
        <v>0</v>
      </c>
      <c r="C356">
        <v>0</v>
      </c>
      <c r="D356">
        <v>11</v>
      </c>
      <c r="E356">
        <v>10</v>
      </c>
      <c r="F356">
        <v>8</v>
      </c>
      <c r="G356">
        <v>29</v>
      </c>
    </row>
    <row r="357" spans="1:7" x14ac:dyDescent="0.2">
      <c r="A357">
        <v>356</v>
      </c>
      <c r="B357">
        <v>0</v>
      </c>
      <c r="C357">
        <v>0</v>
      </c>
      <c r="D357">
        <v>10</v>
      </c>
      <c r="E357">
        <v>10</v>
      </c>
      <c r="F357">
        <v>8</v>
      </c>
      <c r="G357">
        <v>28</v>
      </c>
    </row>
    <row r="358" spans="1:7" x14ac:dyDescent="0.2">
      <c r="A358">
        <v>357</v>
      </c>
      <c r="B358">
        <v>0</v>
      </c>
      <c r="C358">
        <v>0</v>
      </c>
      <c r="D358">
        <v>10</v>
      </c>
      <c r="E358">
        <v>9</v>
      </c>
      <c r="F358">
        <v>8</v>
      </c>
      <c r="G358">
        <v>27</v>
      </c>
    </row>
    <row r="359" spans="1:7" x14ac:dyDescent="0.2">
      <c r="A359">
        <v>358</v>
      </c>
      <c r="B359">
        <v>0</v>
      </c>
      <c r="C359">
        <v>0</v>
      </c>
      <c r="D359">
        <v>10</v>
      </c>
      <c r="E359">
        <v>9</v>
      </c>
      <c r="F359">
        <v>8</v>
      </c>
      <c r="G359">
        <v>27</v>
      </c>
    </row>
    <row r="360" spans="1:7" x14ac:dyDescent="0.2">
      <c r="A360">
        <v>359</v>
      </c>
      <c r="B360">
        <v>0</v>
      </c>
      <c r="C360">
        <v>0</v>
      </c>
      <c r="D360">
        <v>10</v>
      </c>
      <c r="E360">
        <v>9</v>
      </c>
      <c r="F360">
        <v>8</v>
      </c>
      <c r="G360">
        <v>27</v>
      </c>
    </row>
    <row r="361" spans="1:7" x14ac:dyDescent="0.2">
      <c r="A361">
        <v>360</v>
      </c>
      <c r="B361">
        <v>0</v>
      </c>
      <c r="C361">
        <v>0</v>
      </c>
      <c r="D361">
        <v>10</v>
      </c>
      <c r="E361">
        <v>9</v>
      </c>
      <c r="F361">
        <v>8</v>
      </c>
      <c r="G361">
        <v>27</v>
      </c>
    </row>
    <row r="362" spans="1:7" x14ac:dyDescent="0.2">
      <c r="A362">
        <v>361</v>
      </c>
      <c r="B362">
        <v>0</v>
      </c>
      <c r="C362">
        <v>0</v>
      </c>
      <c r="D362">
        <v>10</v>
      </c>
      <c r="E362">
        <v>9</v>
      </c>
      <c r="F362">
        <v>8</v>
      </c>
      <c r="G362">
        <v>27</v>
      </c>
    </row>
    <row r="363" spans="1:7" x14ac:dyDescent="0.2">
      <c r="A363">
        <v>362</v>
      </c>
      <c r="B363">
        <v>0</v>
      </c>
      <c r="C363">
        <v>0</v>
      </c>
      <c r="D363">
        <v>10</v>
      </c>
      <c r="E363">
        <v>7</v>
      </c>
      <c r="F363">
        <v>8</v>
      </c>
      <c r="G363">
        <v>25</v>
      </c>
    </row>
    <row r="364" spans="1:7" x14ac:dyDescent="0.2">
      <c r="A364">
        <v>363</v>
      </c>
      <c r="B364">
        <v>0</v>
      </c>
      <c r="C364">
        <v>0</v>
      </c>
      <c r="D364">
        <v>10</v>
      </c>
      <c r="E364">
        <v>7</v>
      </c>
      <c r="F364">
        <v>8</v>
      </c>
      <c r="G364">
        <v>25</v>
      </c>
    </row>
    <row r="365" spans="1:7" x14ac:dyDescent="0.2">
      <c r="A365">
        <v>364</v>
      </c>
      <c r="B365">
        <v>0</v>
      </c>
      <c r="C365">
        <v>16</v>
      </c>
      <c r="D365">
        <v>2</v>
      </c>
      <c r="E365">
        <v>7</v>
      </c>
      <c r="F365">
        <v>8</v>
      </c>
      <c r="G365">
        <v>33</v>
      </c>
    </row>
    <row r="366" spans="1:7" x14ac:dyDescent="0.2">
      <c r="A366">
        <v>365</v>
      </c>
      <c r="B366">
        <v>0</v>
      </c>
      <c r="C366">
        <v>16</v>
      </c>
      <c r="D366">
        <v>2</v>
      </c>
      <c r="E366">
        <v>7</v>
      </c>
      <c r="F366">
        <v>5</v>
      </c>
      <c r="G366">
        <v>30</v>
      </c>
    </row>
    <row r="367" spans="1:7" x14ac:dyDescent="0.2">
      <c r="A367">
        <v>366</v>
      </c>
      <c r="B367">
        <v>0</v>
      </c>
      <c r="C367">
        <v>16</v>
      </c>
      <c r="D367">
        <v>2</v>
      </c>
      <c r="E367">
        <v>7</v>
      </c>
      <c r="F367">
        <v>5</v>
      </c>
      <c r="G367">
        <v>30</v>
      </c>
    </row>
    <row r="368" spans="1:7" x14ac:dyDescent="0.2">
      <c r="A368">
        <v>367</v>
      </c>
      <c r="B368">
        <v>0</v>
      </c>
      <c r="C368">
        <v>16</v>
      </c>
      <c r="D368">
        <v>2</v>
      </c>
      <c r="E368">
        <v>7</v>
      </c>
      <c r="F368">
        <v>5</v>
      </c>
      <c r="G368">
        <v>30</v>
      </c>
    </row>
    <row r="369" spans="1:7" x14ac:dyDescent="0.2">
      <c r="A369">
        <v>368</v>
      </c>
      <c r="B369">
        <v>0</v>
      </c>
      <c r="C369">
        <v>16</v>
      </c>
      <c r="D369">
        <v>2</v>
      </c>
      <c r="E369">
        <v>7</v>
      </c>
      <c r="F369">
        <v>5</v>
      </c>
      <c r="G369">
        <v>30</v>
      </c>
    </row>
    <row r="370" spans="1:7" x14ac:dyDescent="0.2">
      <c r="A370">
        <v>369</v>
      </c>
      <c r="B370">
        <v>0</v>
      </c>
      <c r="C370">
        <v>16</v>
      </c>
      <c r="D370">
        <v>2</v>
      </c>
      <c r="E370">
        <v>7</v>
      </c>
      <c r="F370">
        <v>5</v>
      </c>
      <c r="G370">
        <v>30</v>
      </c>
    </row>
    <row r="371" spans="1:7" x14ac:dyDescent="0.2">
      <c r="A371">
        <v>370</v>
      </c>
      <c r="B371">
        <v>0</v>
      </c>
      <c r="C371">
        <v>16</v>
      </c>
      <c r="D371">
        <v>2</v>
      </c>
      <c r="E371">
        <v>7</v>
      </c>
      <c r="F371">
        <v>5</v>
      </c>
      <c r="G371">
        <v>30</v>
      </c>
    </row>
    <row r="372" spans="1:7" x14ac:dyDescent="0.2">
      <c r="A372">
        <v>371</v>
      </c>
      <c r="B372">
        <v>0</v>
      </c>
      <c r="C372">
        <v>16</v>
      </c>
      <c r="D372">
        <v>2</v>
      </c>
      <c r="E372">
        <v>7</v>
      </c>
      <c r="F372">
        <v>5</v>
      </c>
      <c r="G372">
        <v>30</v>
      </c>
    </row>
    <row r="373" spans="1:7" x14ac:dyDescent="0.2">
      <c r="A373">
        <v>372</v>
      </c>
      <c r="B373">
        <v>0</v>
      </c>
      <c r="C373">
        <v>16</v>
      </c>
      <c r="D373">
        <v>2</v>
      </c>
      <c r="E373">
        <v>7</v>
      </c>
      <c r="F373">
        <v>5</v>
      </c>
      <c r="G373">
        <v>30</v>
      </c>
    </row>
    <row r="374" spans="1:7" x14ac:dyDescent="0.2">
      <c r="A374">
        <v>373</v>
      </c>
      <c r="B374">
        <v>0</v>
      </c>
      <c r="C374">
        <v>16</v>
      </c>
      <c r="D374">
        <v>2</v>
      </c>
      <c r="E374">
        <v>7</v>
      </c>
      <c r="F374">
        <v>5</v>
      </c>
      <c r="G374">
        <v>30</v>
      </c>
    </row>
    <row r="375" spans="1:7" x14ac:dyDescent="0.2">
      <c r="A375">
        <v>374</v>
      </c>
      <c r="B375">
        <v>0</v>
      </c>
      <c r="C375">
        <v>16</v>
      </c>
      <c r="D375">
        <v>2</v>
      </c>
      <c r="E375">
        <v>7</v>
      </c>
      <c r="F375">
        <v>5</v>
      </c>
      <c r="G375">
        <v>30</v>
      </c>
    </row>
    <row r="376" spans="1:7" x14ac:dyDescent="0.2">
      <c r="A376">
        <v>375</v>
      </c>
      <c r="B376">
        <v>0</v>
      </c>
      <c r="C376">
        <v>16</v>
      </c>
      <c r="D376">
        <v>2</v>
      </c>
      <c r="E376">
        <v>7</v>
      </c>
      <c r="F376">
        <v>5</v>
      </c>
      <c r="G376">
        <v>30</v>
      </c>
    </row>
    <row r="377" spans="1:7" x14ac:dyDescent="0.2">
      <c r="A377">
        <v>376</v>
      </c>
      <c r="B377">
        <v>0</v>
      </c>
      <c r="C377">
        <v>17</v>
      </c>
      <c r="D377">
        <v>2</v>
      </c>
      <c r="E377">
        <v>7</v>
      </c>
      <c r="F377">
        <v>5</v>
      </c>
      <c r="G377">
        <v>31</v>
      </c>
    </row>
    <row r="378" spans="1:7" x14ac:dyDescent="0.2">
      <c r="A378">
        <v>377</v>
      </c>
      <c r="B378">
        <v>0</v>
      </c>
      <c r="C378">
        <v>17</v>
      </c>
      <c r="D378">
        <v>2</v>
      </c>
      <c r="E378">
        <v>7</v>
      </c>
      <c r="F378">
        <v>5</v>
      </c>
      <c r="G378">
        <v>31</v>
      </c>
    </row>
    <row r="379" spans="1:7" x14ac:dyDescent="0.2">
      <c r="A379">
        <v>378</v>
      </c>
      <c r="B379">
        <v>0</v>
      </c>
      <c r="C379">
        <v>17</v>
      </c>
      <c r="D379">
        <v>2</v>
      </c>
      <c r="E379">
        <v>5</v>
      </c>
      <c r="F379">
        <v>5</v>
      </c>
      <c r="G379">
        <v>29</v>
      </c>
    </row>
    <row r="380" spans="1:7" x14ac:dyDescent="0.2">
      <c r="A380">
        <v>379</v>
      </c>
      <c r="B380">
        <v>0</v>
      </c>
      <c r="C380">
        <v>17</v>
      </c>
      <c r="D380">
        <v>2</v>
      </c>
      <c r="E380">
        <v>5</v>
      </c>
      <c r="F380">
        <v>5</v>
      </c>
      <c r="G380">
        <v>29</v>
      </c>
    </row>
    <row r="381" spans="1:7" x14ac:dyDescent="0.2">
      <c r="A381">
        <v>380</v>
      </c>
      <c r="B381">
        <v>0</v>
      </c>
      <c r="C381">
        <v>17</v>
      </c>
      <c r="D381">
        <v>2</v>
      </c>
      <c r="E381">
        <v>5</v>
      </c>
      <c r="F381">
        <v>5</v>
      </c>
      <c r="G381">
        <v>29</v>
      </c>
    </row>
    <row r="382" spans="1:7" x14ac:dyDescent="0.2">
      <c r="A382">
        <v>381</v>
      </c>
      <c r="B382">
        <v>0</v>
      </c>
      <c r="C382">
        <v>17</v>
      </c>
      <c r="D382">
        <v>2</v>
      </c>
      <c r="E382">
        <v>5</v>
      </c>
      <c r="F382">
        <v>5</v>
      </c>
      <c r="G382">
        <v>29</v>
      </c>
    </row>
    <row r="383" spans="1:7" x14ac:dyDescent="0.2">
      <c r="A383">
        <v>382</v>
      </c>
      <c r="B383">
        <v>0</v>
      </c>
      <c r="C383">
        <v>17</v>
      </c>
      <c r="D383">
        <v>2</v>
      </c>
      <c r="E383">
        <v>5</v>
      </c>
      <c r="F383">
        <v>5</v>
      </c>
      <c r="G383">
        <v>29</v>
      </c>
    </row>
    <row r="384" spans="1:7" x14ac:dyDescent="0.2">
      <c r="A384">
        <v>383</v>
      </c>
      <c r="B384">
        <v>0</v>
      </c>
      <c r="C384">
        <v>17</v>
      </c>
      <c r="D384">
        <v>2</v>
      </c>
      <c r="E384">
        <v>5</v>
      </c>
      <c r="F384">
        <v>5</v>
      </c>
      <c r="G384">
        <v>29</v>
      </c>
    </row>
    <row r="385" spans="1:7" x14ac:dyDescent="0.2">
      <c r="A385">
        <v>384</v>
      </c>
      <c r="B385">
        <v>0</v>
      </c>
      <c r="C385">
        <v>17</v>
      </c>
      <c r="D385">
        <v>2</v>
      </c>
      <c r="E385">
        <v>5</v>
      </c>
      <c r="F385">
        <v>3</v>
      </c>
      <c r="G385">
        <v>27</v>
      </c>
    </row>
    <row r="386" spans="1:7" x14ac:dyDescent="0.2">
      <c r="A386">
        <v>385</v>
      </c>
      <c r="B386">
        <v>0</v>
      </c>
      <c r="C386">
        <v>17</v>
      </c>
      <c r="D386">
        <v>2</v>
      </c>
      <c r="E386">
        <v>5</v>
      </c>
      <c r="F386">
        <v>5</v>
      </c>
      <c r="G386">
        <v>29</v>
      </c>
    </row>
    <row r="387" spans="1:7" x14ac:dyDescent="0.2">
      <c r="A387">
        <v>386</v>
      </c>
      <c r="B387">
        <v>0</v>
      </c>
      <c r="C387">
        <v>17</v>
      </c>
      <c r="D387">
        <v>2</v>
      </c>
      <c r="E387">
        <v>5</v>
      </c>
      <c r="F387">
        <v>5</v>
      </c>
      <c r="G387">
        <v>29</v>
      </c>
    </row>
    <row r="388" spans="1:7" x14ac:dyDescent="0.2">
      <c r="A388">
        <v>387</v>
      </c>
      <c r="B388">
        <v>0</v>
      </c>
      <c r="C388">
        <v>17</v>
      </c>
      <c r="D388">
        <v>2</v>
      </c>
      <c r="E388">
        <v>5</v>
      </c>
      <c r="F388">
        <v>5</v>
      </c>
      <c r="G388">
        <v>29</v>
      </c>
    </row>
    <row r="389" spans="1:7" x14ac:dyDescent="0.2">
      <c r="A389">
        <v>388</v>
      </c>
      <c r="B389">
        <v>0</v>
      </c>
      <c r="C389">
        <v>17</v>
      </c>
      <c r="D389">
        <v>2</v>
      </c>
      <c r="E389">
        <v>5</v>
      </c>
      <c r="F389">
        <v>5</v>
      </c>
      <c r="G389">
        <v>29</v>
      </c>
    </row>
    <row r="390" spans="1:7" x14ac:dyDescent="0.2">
      <c r="A390">
        <v>389</v>
      </c>
      <c r="B390">
        <v>0</v>
      </c>
      <c r="C390">
        <v>17</v>
      </c>
      <c r="D390">
        <v>2</v>
      </c>
      <c r="E390">
        <v>5</v>
      </c>
      <c r="F390">
        <v>5</v>
      </c>
      <c r="G390">
        <v>29</v>
      </c>
    </row>
    <row r="391" spans="1:7" x14ac:dyDescent="0.2">
      <c r="A391">
        <v>390</v>
      </c>
      <c r="B391">
        <v>0</v>
      </c>
      <c r="C391">
        <v>17</v>
      </c>
      <c r="D391">
        <v>2</v>
      </c>
      <c r="E391">
        <v>5</v>
      </c>
      <c r="F391">
        <v>5</v>
      </c>
      <c r="G391">
        <v>29</v>
      </c>
    </row>
    <row r="392" spans="1:7" x14ac:dyDescent="0.2">
      <c r="A392">
        <v>391</v>
      </c>
      <c r="B392">
        <v>0</v>
      </c>
      <c r="C392">
        <v>17</v>
      </c>
      <c r="D392">
        <v>2</v>
      </c>
      <c r="E392">
        <v>5</v>
      </c>
      <c r="F392">
        <v>5</v>
      </c>
      <c r="G392">
        <v>29</v>
      </c>
    </row>
    <row r="393" spans="1:7" x14ac:dyDescent="0.2">
      <c r="A393">
        <v>392</v>
      </c>
      <c r="B393">
        <v>0</v>
      </c>
      <c r="C393">
        <v>17</v>
      </c>
      <c r="D393">
        <v>2</v>
      </c>
      <c r="E393">
        <v>5</v>
      </c>
      <c r="F393">
        <v>5</v>
      </c>
      <c r="G393">
        <v>29</v>
      </c>
    </row>
    <row r="394" spans="1:7" x14ac:dyDescent="0.2">
      <c r="A394">
        <v>393</v>
      </c>
      <c r="B394">
        <v>0</v>
      </c>
      <c r="C394">
        <v>17</v>
      </c>
      <c r="D394">
        <v>2</v>
      </c>
      <c r="E394">
        <v>5</v>
      </c>
      <c r="F394">
        <v>5</v>
      </c>
      <c r="G394">
        <v>29</v>
      </c>
    </row>
    <row r="395" spans="1:7" x14ac:dyDescent="0.2">
      <c r="A395">
        <v>394</v>
      </c>
      <c r="B395">
        <v>0</v>
      </c>
      <c r="C395">
        <v>1</v>
      </c>
      <c r="D395">
        <v>2</v>
      </c>
      <c r="E395">
        <v>6</v>
      </c>
      <c r="F395">
        <v>7</v>
      </c>
      <c r="G395">
        <v>16</v>
      </c>
    </row>
    <row r="396" spans="1:7" x14ac:dyDescent="0.2">
      <c r="A396">
        <v>395</v>
      </c>
      <c r="B396">
        <v>0</v>
      </c>
      <c r="C396">
        <v>1</v>
      </c>
      <c r="D396">
        <v>2</v>
      </c>
      <c r="E396">
        <v>7</v>
      </c>
      <c r="F396">
        <v>7</v>
      </c>
      <c r="G396">
        <v>17</v>
      </c>
    </row>
    <row r="397" spans="1:7" x14ac:dyDescent="0.2">
      <c r="A397">
        <v>396</v>
      </c>
      <c r="B397">
        <v>0</v>
      </c>
      <c r="C397">
        <v>1</v>
      </c>
      <c r="D397">
        <v>2</v>
      </c>
      <c r="E397">
        <v>7</v>
      </c>
      <c r="F397">
        <v>9</v>
      </c>
      <c r="G397">
        <v>19</v>
      </c>
    </row>
    <row r="398" spans="1:7" x14ac:dyDescent="0.2">
      <c r="A398">
        <v>397</v>
      </c>
      <c r="B398">
        <v>0</v>
      </c>
      <c r="C398">
        <v>1</v>
      </c>
      <c r="D398">
        <v>2</v>
      </c>
      <c r="E398">
        <v>7</v>
      </c>
      <c r="F398">
        <v>9</v>
      </c>
      <c r="G398">
        <v>19</v>
      </c>
    </row>
    <row r="399" spans="1:7" x14ac:dyDescent="0.2">
      <c r="A399">
        <v>398</v>
      </c>
      <c r="B399">
        <v>0</v>
      </c>
      <c r="C399">
        <v>1</v>
      </c>
      <c r="D399">
        <v>2</v>
      </c>
      <c r="E399">
        <v>7</v>
      </c>
      <c r="F399">
        <v>9</v>
      </c>
      <c r="G399">
        <v>19</v>
      </c>
    </row>
    <row r="400" spans="1:7" x14ac:dyDescent="0.2">
      <c r="A400">
        <v>399</v>
      </c>
      <c r="B400">
        <v>0</v>
      </c>
      <c r="C400">
        <v>1</v>
      </c>
      <c r="D400">
        <v>2</v>
      </c>
      <c r="E400">
        <v>7</v>
      </c>
      <c r="F400">
        <v>9</v>
      </c>
      <c r="G400">
        <v>19</v>
      </c>
    </row>
    <row r="401" spans="1:7" x14ac:dyDescent="0.2">
      <c r="A401">
        <v>400</v>
      </c>
      <c r="B401">
        <v>0</v>
      </c>
      <c r="C401">
        <v>1</v>
      </c>
      <c r="D401">
        <v>2</v>
      </c>
      <c r="E401">
        <v>7</v>
      </c>
      <c r="F401">
        <v>8</v>
      </c>
      <c r="G401">
        <v>18</v>
      </c>
    </row>
    <row r="402" spans="1:7" x14ac:dyDescent="0.2">
      <c r="A402">
        <v>401</v>
      </c>
      <c r="B402">
        <v>0</v>
      </c>
      <c r="C402">
        <v>1</v>
      </c>
      <c r="D402">
        <v>2</v>
      </c>
      <c r="E402">
        <v>7</v>
      </c>
      <c r="F402">
        <v>8</v>
      </c>
      <c r="G402">
        <v>18</v>
      </c>
    </row>
    <row r="403" spans="1:7" x14ac:dyDescent="0.2">
      <c r="A403">
        <v>402</v>
      </c>
      <c r="B403">
        <v>0</v>
      </c>
      <c r="C403">
        <v>1</v>
      </c>
      <c r="D403">
        <v>2</v>
      </c>
      <c r="E403">
        <v>7</v>
      </c>
      <c r="F403">
        <v>10</v>
      </c>
      <c r="G403">
        <v>20</v>
      </c>
    </row>
    <row r="404" spans="1:7" x14ac:dyDescent="0.2">
      <c r="A404">
        <v>403</v>
      </c>
      <c r="B404">
        <v>0</v>
      </c>
      <c r="C404">
        <v>1</v>
      </c>
      <c r="D404">
        <v>2</v>
      </c>
      <c r="E404">
        <v>7</v>
      </c>
      <c r="F404">
        <v>11</v>
      </c>
      <c r="G404">
        <v>21</v>
      </c>
    </row>
    <row r="405" spans="1:7" x14ac:dyDescent="0.2">
      <c r="A405">
        <v>404</v>
      </c>
      <c r="B405">
        <v>0</v>
      </c>
      <c r="C405">
        <v>1</v>
      </c>
      <c r="D405">
        <v>2</v>
      </c>
      <c r="E405">
        <v>7</v>
      </c>
      <c r="F405">
        <v>11</v>
      </c>
      <c r="G405">
        <v>21</v>
      </c>
    </row>
    <row r="406" spans="1:7" x14ac:dyDescent="0.2">
      <c r="A406">
        <v>405</v>
      </c>
      <c r="B406">
        <v>0</v>
      </c>
      <c r="C406">
        <v>1</v>
      </c>
      <c r="D406">
        <v>2</v>
      </c>
      <c r="E406">
        <v>7</v>
      </c>
      <c r="F406">
        <v>11</v>
      </c>
      <c r="G406">
        <v>21</v>
      </c>
    </row>
    <row r="407" spans="1:7" x14ac:dyDescent="0.2">
      <c r="A407">
        <v>406</v>
      </c>
      <c r="B407">
        <v>0</v>
      </c>
      <c r="C407">
        <v>0</v>
      </c>
      <c r="D407">
        <v>2</v>
      </c>
      <c r="E407">
        <v>7</v>
      </c>
      <c r="F407">
        <v>11</v>
      </c>
      <c r="G407">
        <v>20</v>
      </c>
    </row>
    <row r="408" spans="1:7" x14ac:dyDescent="0.2">
      <c r="A408">
        <v>407</v>
      </c>
      <c r="B408">
        <v>0</v>
      </c>
      <c r="C408">
        <v>0</v>
      </c>
      <c r="D408">
        <v>2</v>
      </c>
      <c r="E408">
        <v>7</v>
      </c>
      <c r="F408">
        <v>11</v>
      </c>
      <c r="G408">
        <v>20</v>
      </c>
    </row>
    <row r="409" spans="1:7" x14ac:dyDescent="0.2">
      <c r="A409">
        <v>408</v>
      </c>
      <c r="B409">
        <v>0</v>
      </c>
      <c r="C409">
        <v>0</v>
      </c>
      <c r="D409">
        <v>2</v>
      </c>
      <c r="E409">
        <v>7</v>
      </c>
      <c r="F409">
        <v>11</v>
      </c>
      <c r="G409">
        <v>20</v>
      </c>
    </row>
    <row r="410" spans="1:7" x14ac:dyDescent="0.2">
      <c r="A410">
        <v>409</v>
      </c>
      <c r="B410">
        <v>0</v>
      </c>
      <c r="C410">
        <v>0</v>
      </c>
      <c r="D410">
        <v>11</v>
      </c>
      <c r="E410">
        <v>7</v>
      </c>
      <c r="F410">
        <v>9</v>
      </c>
      <c r="G410">
        <v>27</v>
      </c>
    </row>
    <row r="411" spans="1:7" x14ac:dyDescent="0.2">
      <c r="A411">
        <v>410</v>
      </c>
      <c r="B411">
        <v>0</v>
      </c>
      <c r="C411">
        <v>0</v>
      </c>
      <c r="D411">
        <v>11</v>
      </c>
      <c r="E411">
        <v>7</v>
      </c>
      <c r="F411">
        <v>8</v>
      </c>
      <c r="G411">
        <v>26</v>
      </c>
    </row>
    <row r="412" spans="1:7" x14ac:dyDescent="0.2">
      <c r="A412">
        <v>411</v>
      </c>
      <c r="B412">
        <v>0</v>
      </c>
      <c r="C412">
        <v>0</v>
      </c>
      <c r="D412">
        <v>11</v>
      </c>
      <c r="E412">
        <v>7</v>
      </c>
      <c r="F412">
        <v>8</v>
      </c>
      <c r="G412">
        <v>26</v>
      </c>
    </row>
    <row r="413" spans="1:7" x14ac:dyDescent="0.2">
      <c r="A413">
        <v>412</v>
      </c>
      <c r="B413">
        <v>0</v>
      </c>
      <c r="C413">
        <v>0</v>
      </c>
      <c r="D413">
        <v>11</v>
      </c>
      <c r="E413">
        <v>7</v>
      </c>
      <c r="F413">
        <v>8</v>
      </c>
      <c r="G413">
        <v>26</v>
      </c>
    </row>
    <row r="414" spans="1:7" x14ac:dyDescent="0.2">
      <c r="A414">
        <v>413</v>
      </c>
      <c r="B414">
        <v>0</v>
      </c>
      <c r="C414">
        <v>0</v>
      </c>
      <c r="D414">
        <v>11</v>
      </c>
      <c r="E414">
        <v>7</v>
      </c>
      <c r="F414">
        <v>8</v>
      </c>
      <c r="G414">
        <v>26</v>
      </c>
    </row>
    <row r="415" spans="1:7" x14ac:dyDescent="0.2">
      <c r="A415">
        <v>414</v>
      </c>
      <c r="B415">
        <v>0</v>
      </c>
      <c r="C415">
        <v>0</v>
      </c>
      <c r="D415">
        <v>11</v>
      </c>
      <c r="E415">
        <v>7</v>
      </c>
      <c r="F415">
        <v>8</v>
      </c>
      <c r="G415">
        <v>26</v>
      </c>
    </row>
    <row r="416" spans="1:7" x14ac:dyDescent="0.2">
      <c r="A416">
        <v>415</v>
      </c>
      <c r="B416">
        <v>0</v>
      </c>
      <c r="C416">
        <v>0</v>
      </c>
      <c r="D416">
        <v>11</v>
      </c>
      <c r="E416">
        <v>7</v>
      </c>
      <c r="F416">
        <v>8</v>
      </c>
      <c r="G416">
        <v>26</v>
      </c>
    </row>
    <row r="417" spans="1:7" x14ac:dyDescent="0.2">
      <c r="A417">
        <v>416</v>
      </c>
      <c r="B417">
        <v>0</v>
      </c>
      <c r="C417">
        <v>0</v>
      </c>
      <c r="D417">
        <v>11</v>
      </c>
      <c r="E417">
        <v>7</v>
      </c>
      <c r="F417">
        <v>8</v>
      </c>
      <c r="G417">
        <v>26</v>
      </c>
    </row>
    <row r="418" spans="1:7" x14ac:dyDescent="0.2">
      <c r="A418">
        <v>417</v>
      </c>
      <c r="B418">
        <v>0</v>
      </c>
      <c r="C418">
        <v>0</v>
      </c>
      <c r="D418">
        <v>11</v>
      </c>
      <c r="E418">
        <v>7</v>
      </c>
      <c r="F418">
        <v>8</v>
      </c>
      <c r="G418">
        <v>26</v>
      </c>
    </row>
    <row r="419" spans="1:7" x14ac:dyDescent="0.2">
      <c r="A419">
        <v>418</v>
      </c>
      <c r="B419">
        <v>0</v>
      </c>
      <c r="C419">
        <v>0</v>
      </c>
      <c r="D419">
        <v>11</v>
      </c>
      <c r="E419">
        <v>8</v>
      </c>
      <c r="F419">
        <v>8</v>
      </c>
      <c r="G419">
        <v>27</v>
      </c>
    </row>
    <row r="420" spans="1:7" x14ac:dyDescent="0.2">
      <c r="A420">
        <v>419</v>
      </c>
      <c r="B420">
        <v>0</v>
      </c>
      <c r="C420">
        <v>0</v>
      </c>
      <c r="D420">
        <v>11</v>
      </c>
      <c r="E420">
        <v>8</v>
      </c>
      <c r="F420">
        <v>8</v>
      </c>
      <c r="G420">
        <v>27</v>
      </c>
    </row>
    <row r="421" spans="1:7" x14ac:dyDescent="0.2">
      <c r="A421">
        <v>420</v>
      </c>
      <c r="B421">
        <v>0</v>
      </c>
      <c r="C421">
        <v>0</v>
      </c>
      <c r="D421">
        <v>11</v>
      </c>
      <c r="E421">
        <v>8</v>
      </c>
      <c r="F421">
        <v>8</v>
      </c>
      <c r="G421">
        <v>27</v>
      </c>
    </row>
    <row r="422" spans="1:7" x14ac:dyDescent="0.2">
      <c r="A422">
        <v>421</v>
      </c>
      <c r="B422">
        <v>0</v>
      </c>
      <c r="C422">
        <v>0</v>
      </c>
      <c r="D422">
        <v>11</v>
      </c>
      <c r="E422">
        <v>8</v>
      </c>
      <c r="F422">
        <v>8</v>
      </c>
      <c r="G422">
        <v>27</v>
      </c>
    </row>
    <row r="423" spans="1:7" x14ac:dyDescent="0.2">
      <c r="A423">
        <v>422</v>
      </c>
      <c r="B423">
        <v>0</v>
      </c>
      <c r="C423">
        <v>0</v>
      </c>
      <c r="D423">
        <v>11</v>
      </c>
      <c r="E423">
        <v>8</v>
      </c>
      <c r="F423">
        <v>8</v>
      </c>
      <c r="G423">
        <v>27</v>
      </c>
    </row>
    <row r="424" spans="1:7" x14ac:dyDescent="0.2">
      <c r="A424">
        <v>423</v>
      </c>
      <c r="B424">
        <v>0</v>
      </c>
      <c r="C424">
        <v>0</v>
      </c>
      <c r="D424">
        <v>11</v>
      </c>
      <c r="E424">
        <v>8</v>
      </c>
      <c r="F424">
        <v>8</v>
      </c>
      <c r="G424">
        <v>27</v>
      </c>
    </row>
    <row r="425" spans="1:7" x14ac:dyDescent="0.2">
      <c r="A425">
        <v>424</v>
      </c>
      <c r="B425">
        <v>0</v>
      </c>
      <c r="C425">
        <v>0</v>
      </c>
      <c r="D425">
        <v>11</v>
      </c>
      <c r="E425">
        <v>8</v>
      </c>
      <c r="F425">
        <v>8</v>
      </c>
      <c r="G425">
        <v>27</v>
      </c>
    </row>
    <row r="426" spans="1:7" x14ac:dyDescent="0.2">
      <c r="A426">
        <v>425</v>
      </c>
      <c r="B426">
        <v>0</v>
      </c>
      <c r="C426">
        <v>0</v>
      </c>
      <c r="D426">
        <v>11</v>
      </c>
      <c r="E426">
        <v>8</v>
      </c>
      <c r="F426">
        <v>8</v>
      </c>
      <c r="G426">
        <v>27</v>
      </c>
    </row>
    <row r="427" spans="1:7" x14ac:dyDescent="0.2">
      <c r="A427">
        <v>426</v>
      </c>
      <c r="B427">
        <v>0</v>
      </c>
      <c r="C427">
        <v>0</v>
      </c>
      <c r="D427">
        <v>11</v>
      </c>
      <c r="E427">
        <v>8</v>
      </c>
      <c r="F427">
        <v>8</v>
      </c>
      <c r="G427">
        <v>27</v>
      </c>
    </row>
    <row r="428" spans="1:7" x14ac:dyDescent="0.2">
      <c r="A428">
        <v>427</v>
      </c>
      <c r="B428">
        <v>0</v>
      </c>
      <c r="C428">
        <v>0</v>
      </c>
      <c r="D428">
        <v>11</v>
      </c>
      <c r="E428">
        <v>8</v>
      </c>
      <c r="F428">
        <v>8</v>
      </c>
      <c r="G428">
        <v>27</v>
      </c>
    </row>
    <row r="429" spans="1:7" x14ac:dyDescent="0.2">
      <c r="A429">
        <v>428</v>
      </c>
      <c r="B429">
        <v>0</v>
      </c>
      <c r="C429">
        <v>0</v>
      </c>
      <c r="D429">
        <v>11</v>
      </c>
      <c r="E429">
        <v>8</v>
      </c>
      <c r="F429">
        <v>8</v>
      </c>
      <c r="G429">
        <v>27</v>
      </c>
    </row>
    <row r="430" spans="1:7" x14ac:dyDescent="0.2">
      <c r="A430">
        <v>429</v>
      </c>
      <c r="B430">
        <v>0</v>
      </c>
      <c r="C430">
        <v>0</v>
      </c>
      <c r="D430">
        <v>11</v>
      </c>
      <c r="E430">
        <v>8</v>
      </c>
      <c r="F430">
        <v>8</v>
      </c>
      <c r="G430">
        <v>27</v>
      </c>
    </row>
    <row r="431" spans="1:7" x14ac:dyDescent="0.2">
      <c r="A431">
        <v>430</v>
      </c>
      <c r="B431">
        <v>0</v>
      </c>
      <c r="C431">
        <v>0</v>
      </c>
      <c r="D431">
        <v>11</v>
      </c>
      <c r="E431">
        <v>8</v>
      </c>
      <c r="F431">
        <v>8</v>
      </c>
      <c r="G431">
        <v>27</v>
      </c>
    </row>
    <row r="432" spans="1:7" x14ac:dyDescent="0.2">
      <c r="A432">
        <v>431</v>
      </c>
      <c r="B432">
        <v>0</v>
      </c>
      <c r="C432">
        <v>0</v>
      </c>
      <c r="D432">
        <v>11</v>
      </c>
      <c r="E432">
        <v>8</v>
      </c>
      <c r="F432">
        <v>8</v>
      </c>
      <c r="G432">
        <v>27</v>
      </c>
    </row>
    <row r="433" spans="1:7" x14ac:dyDescent="0.2">
      <c r="A433">
        <v>432</v>
      </c>
      <c r="B433">
        <v>0</v>
      </c>
      <c r="C433">
        <v>0</v>
      </c>
      <c r="D433">
        <v>11</v>
      </c>
      <c r="E433">
        <v>8</v>
      </c>
      <c r="F433">
        <v>8</v>
      </c>
      <c r="G433">
        <v>27</v>
      </c>
    </row>
    <row r="434" spans="1:7" x14ac:dyDescent="0.2">
      <c r="A434">
        <v>433</v>
      </c>
      <c r="B434">
        <v>0</v>
      </c>
      <c r="C434">
        <v>0</v>
      </c>
      <c r="D434">
        <v>11</v>
      </c>
      <c r="E434">
        <v>8</v>
      </c>
      <c r="F434">
        <v>8</v>
      </c>
      <c r="G434">
        <v>27</v>
      </c>
    </row>
    <row r="435" spans="1:7" x14ac:dyDescent="0.2">
      <c r="A435">
        <v>434</v>
      </c>
      <c r="B435">
        <v>0</v>
      </c>
      <c r="C435">
        <v>0</v>
      </c>
      <c r="D435">
        <v>11</v>
      </c>
      <c r="E435">
        <v>8</v>
      </c>
      <c r="F435">
        <v>8</v>
      </c>
      <c r="G435">
        <v>27</v>
      </c>
    </row>
    <row r="436" spans="1:7" x14ac:dyDescent="0.2">
      <c r="A436">
        <v>435</v>
      </c>
      <c r="B436">
        <v>0</v>
      </c>
      <c r="C436">
        <v>0</v>
      </c>
      <c r="D436">
        <v>11</v>
      </c>
      <c r="E436">
        <v>8</v>
      </c>
      <c r="F436">
        <v>8</v>
      </c>
      <c r="G436">
        <v>27</v>
      </c>
    </row>
    <row r="437" spans="1:7" x14ac:dyDescent="0.2">
      <c r="A437">
        <v>436</v>
      </c>
      <c r="B437">
        <v>0</v>
      </c>
      <c r="C437">
        <v>0</v>
      </c>
      <c r="D437">
        <v>11</v>
      </c>
      <c r="E437">
        <v>8</v>
      </c>
      <c r="F437">
        <v>8</v>
      </c>
      <c r="G437">
        <v>27</v>
      </c>
    </row>
    <row r="438" spans="1:7" x14ac:dyDescent="0.2">
      <c r="A438">
        <v>437</v>
      </c>
      <c r="B438">
        <v>0</v>
      </c>
      <c r="C438">
        <v>0</v>
      </c>
      <c r="D438">
        <v>11</v>
      </c>
      <c r="E438">
        <v>8</v>
      </c>
      <c r="F438">
        <v>8</v>
      </c>
      <c r="G438">
        <v>27</v>
      </c>
    </row>
    <row r="439" spans="1:7" x14ac:dyDescent="0.2">
      <c r="A439">
        <v>438</v>
      </c>
      <c r="B439">
        <v>0</v>
      </c>
      <c r="C439">
        <v>0</v>
      </c>
      <c r="D439">
        <v>11</v>
      </c>
      <c r="E439">
        <v>8</v>
      </c>
      <c r="F439">
        <v>8</v>
      </c>
      <c r="G439">
        <v>27</v>
      </c>
    </row>
    <row r="440" spans="1:7" x14ac:dyDescent="0.2">
      <c r="A440">
        <v>439</v>
      </c>
      <c r="B440">
        <v>0</v>
      </c>
      <c r="C440">
        <v>8</v>
      </c>
      <c r="D440">
        <v>2</v>
      </c>
      <c r="E440">
        <v>8</v>
      </c>
      <c r="F440">
        <v>8</v>
      </c>
      <c r="G440">
        <v>26</v>
      </c>
    </row>
    <row r="441" spans="1:7" x14ac:dyDescent="0.2">
      <c r="A441">
        <v>440</v>
      </c>
      <c r="B441">
        <v>0</v>
      </c>
      <c r="C441">
        <v>8</v>
      </c>
      <c r="D441">
        <v>2</v>
      </c>
      <c r="E441">
        <v>8</v>
      </c>
      <c r="F441">
        <v>8</v>
      </c>
      <c r="G441">
        <v>26</v>
      </c>
    </row>
    <row r="442" spans="1:7" x14ac:dyDescent="0.2">
      <c r="A442">
        <v>441</v>
      </c>
      <c r="B442">
        <v>0</v>
      </c>
      <c r="C442">
        <v>8</v>
      </c>
      <c r="D442">
        <v>2</v>
      </c>
      <c r="E442">
        <v>8</v>
      </c>
      <c r="F442">
        <v>8</v>
      </c>
      <c r="G442">
        <v>26</v>
      </c>
    </row>
    <row r="443" spans="1:7" x14ac:dyDescent="0.2">
      <c r="A443">
        <v>442</v>
      </c>
      <c r="B443">
        <v>0</v>
      </c>
      <c r="C443">
        <v>8</v>
      </c>
      <c r="D443">
        <v>2</v>
      </c>
      <c r="E443">
        <v>8</v>
      </c>
      <c r="F443">
        <v>8</v>
      </c>
      <c r="G443">
        <v>26</v>
      </c>
    </row>
    <row r="444" spans="1:7" x14ac:dyDescent="0.2">
      <c r="A444">
        <v>443</v>
      </c>
      <c r="B444">
        <v>0</v>
      </c>
      <c r="C444">
        <v>8</v>
      </c>
      <c r="D444">
        <v>2</v>
      </c>
      <c r="E444">
        <v>8</v>
      </c>
      <c r="F444">
        <v>8</v>
      </c>
      <c r="G444">
        <v>26</v>
      </c>
    </row>
    <row r="445" spans="1:7" x14ac:dyDescent="0.2">
      <c r="A445">
        <v>444</v>
      </c>
      <c r="B445">
        <v>0</v>
      </c>
      <c r="C445">
        <v>8</v>
      </c>
      <c r="D445">
        <v>2</v>
      </c>
      <c r="E445">
        <v>8</v>
      </c>
      <c r="F445">
        <v>8</v>
      </c>
      <c r="G445">
        <v>26</v>
      </c>
    </row>
    <row r="446" spans="1:7" x14ac:dyDescent="0.2">
      <c r="A446">
        <v>445</v>
      </c>
      <c r="B446">
        <v>0</v>
      </c>
      <c r="C446">
        <v>8</v>
      </c>
      <c r="D446">
        <v>2</v>
      </c>
      <c r="E446">
        <v>8</v>
      </c>
      <c r="F446">
        <v>8</v>
      </c>
      <c r="G446">
        <v>26</v>
      </c>
    </row>
    <row r="447" spans="1:7" x14ac:dyDescent="0.2">
      <c r="A447">
        <v>446</v>
      </c>
      <c r="B447">
        <v>0</v>
      </c>
      <c r="C447">
        <v>8</v>
      </c>
      <c r="D447">
        <v>2</v>
      </c>
      <c r="E447">
        <v>8</v>
      </c>
      <c r="F447">
        <v>8</v>
      </c>
      <c r="G447">
        <v>26</v>
      </c>
    </row>
    <row r="448" spans="1:7" x14ac:dyDescent="0.2">
      <c r="A448">
        <v>447</v>
      </c>
      <c r="B448">
        <v>0</v>
      </c>
      <c r="C448">
        <v>8</v>
      </c>
      <c r="D448">
        <v>2</v>
      </c>
      <c r="E448">
        <v>8</v>
      </c>
      <c r="F448">
        <v>8</v>
      </c>
      <c r="G448">
        <v>26</v>
      </c>
    </row>
    <row r="449" spans="1:7" x14ac:dyDescent="0.2">
      <c r="A449">
        <v>448</v>
      </c>
      <c r="B449">
        <v>0</v>
      </c>
      <c r="C449">
        <v>12</v>
      </c>
      <c r="D449">
        <v>2</v>
      </c>
      <c r="E449">
        <v>7</v>
      </c>
      <c r="F449">
        <v>8</v>
      </c>
      <c r="G449">
        <v>29</v>
      </c>
    </row>
    <row r="450" spans="1:7" x14ac:dyDescent="0.2">
      <c r="A450">
        <v>449</v>
      </c>
      <c r="B450">
        <v>0</v>
      </c>
      <c r="C450">
        <v>12</v>
      </c>
      <c r="D450">
        <v>2</v>
      </c>
      <c r="E450">
        <v>7</v>
      </c>
      <c r="F450">
        <v>8</v>
      </c>
      <c r="G450">
        <v>29</v>
      </c>
    </row>
    <row r="451" spans="1:7" x14ac:dyDescent="0.2">
      <c r="A451">
        <v>450</v>
      </c>
      <c r="B451">
        <v>0</v>
      </c>
      <c r="C451">
        <v>12</v>
      </c>
      <c r="D451">
        <v>2</v>
      </c>
      <c r="E451">
        <v>7</v>
      </c>
      <c r="F451">
        <v>8</v>
      </c>
      <c r="G451">
        <v>29</v>
      </c>
    </row>
    <row r="452" spans="1:7" x14ac:dyDescent="0.2">
      <c r="A452">
        <v>451</v>
      </c>
      <c r="B452">
        <v>0</v>
      </c>
      <c r="C452">
        <v>12</v>
      </c>
      <c r="D452">
        <v>2</v>
      </c>
      <c r="E452">
        <v>6</v>
      </c>
      <c r="F452">
        <v>8</v>
      </c>
      <c r="G452">
        <v>28</v>
      </c>
    </row>
    <row r="453" spans="1:7" x14ac:dyDescent="0.2">
      <c r="A453">
        <v>452</v>
      </c>
      <c r="B453">
        <v>0</v>
      </c>
      <c r="C453">
        <v>12</v>
      </c>
      <c r="D453">
        <v>2</v>
      </c>
      <c r="E453">
        <v>6</v>
      </c>
      <c r="F453">
        <v>8</v>
      </c>
      <c r="G453">
        <v>28</v>
      </c>
    </row>
    <row r="454" spans="1:7" x14ac:dyDescent="0.2">
      <c r="A454">
        <v>453</v>
      </c>
      <c r="B454">
        <v>0</v>
      </c>
      <c r="C454">
        <v>12</v>
      </c>
      <c r="D454">
        <v>2</v>
      </c>
      <c r="E454">
        <v>6</v>
      </c>
      <c r="F454">
        <v>8</v>
      </c>
      <c r="G454">
        <v>28</v>
      </c>
    </row>
    <row r="455" spans="1:7" x14ac:dyDescent="0.2">
      <c r="A455">
        <v>454</v>
      </c>
      <c r="B455">
        <v>0</v>
      </c>
      <c r="C455">
        <v>12</v>
      </c>
      <c r="D455">
        <v>2</v>
      </c>
      <c r="E455">
        <v>6</v>
      </c>
      <c r="F455">
        <v>8</v>
      </c>
      <c r="G455">
        <v>28</v>
      </c>
    </row>
    <row r="456" spans="1:7" x14ac:dyDescent="0.2">
      <c r="A456">
        <v>455</v>
      </c>
      <c r="B456">
        <v>0</v>
      </c>
      <c r="C456">
        <v>12</v>
      </c>
      <c r="D456">
        <v>2</v>
      </c>
      <c r="E456">
        <v>6</v>
      </c>
      <c r="F456">
        <v>8</v>
      </c>
      <c r="G456">
        <v>28</v>
      </c>
    </row>
    <row r="457" spans="1:7" x14ac:dyDescent="0.2">
      <c r="A457">
        <v>456</v>
      </c>
      <c r="B457">
        <v>0</v>
      </c>
      <c r="C457">
        <v>12</v>
      </c>
      <c r="D457">
        <v>2</v>
      </c>
      <c r="E457">
        <v>6</v>
      </c>
      <c r="F457">
        <v>8</v>
      </c>
      <c r="G457">
        <v>28</v>
      </c>
    </row>
    <row r="458" spans="1:7" x14ac:dyDescent="0.2">
      <c r="A458">
        <v>457</v>
      </c>
      <c r="B458">
        <v>0</v>
      </c>
      <c r="C458">
        <v>12</v>
      </c>
      <c r="D458">
        <v>2</v>
      </c>
      <c r="E458">
        <v>6</v>
      </c>
      <c r="F458">
        <v>8</v>
      </c>
      <c r="G458">
        <v>28</v>
      </c>
    </row>
    <row r="459" spans="1:7" x14ac:dyDescent="0.2">
      <c r="A459">
        <v>458</v>
      </c>
      <c r="B459">
        <v>0</v>
      </c>
      <c r="C459">
        <v>12</v>
      </c>
      <c r="D459">
        <v>2</v>
      </c>
      <c r="E459">
        <v>6</v>
      </c>
      <c r="F459">
        <v>8</v>
      </c>
      <c r="G459">
        <v>28</v>
      </c>
    </row>
    <row r="460" spans="1:7" x14ac:dyDescent="0.2">
      <c r="A460">
        <v>459</v>
      </c>
      <c r="B460">
        <v>0</v>
      </c>
      <c r="C460">
        <v>12</v>
      </c>
      <c r="D460">
        <v>2</v>
      </c>
      <c r="E460">
        <v>6</v>
      </c>
      <c r="F460">
        <v>8</v>
      </c>
      <c r="G460">
        <v>28</v>
      </c>
    </row>
    <row r="461" spans="1:7" x14ac:dyDescent="0.2">
      <c r="A461">
        <v>460</v>
      </c>
      <c r="B461">
        <v>0</v>
      </c>
      <c r="C461">
        <v>12</v>
      </c>
      <c r="D461">
        <v>2</v>
      </c>
      <c r="E461">
        <v>6</v>
      </c>
      <c r="F461">
        <v>8</v>
      </c>
      <c r="G461">
        <v>28</v>
      </c>
    </row>
    <row r="462" spans="1:7" x14ac:dyDescent="0.2">
      <c r="A462">
        <v>461</v>
      </c>
      <c r="B462">
        <v>0</v>
      </c>
      <c r="C462">
        <v>12</v>
      </c>
      <c r="D462">
        <v>2</v>
      </c>
      <c r="E462">
        <v>5</v>
      </c>
      <c r="F462">
        <v>8</v>
      </c>
      <c r="G462">
        <v>27</v>
      </c>
    </row>
    <row r="463" spans="1:7" x14ac:dyDescent="0.2">
      <c r="A463">
        <v>462</v>
      </c>
      <c r="B463">
        <v>0</v>
      </c>
      <c r="C463">
        <v>12</v>
      </c>
      <c r="D463">
        <v>2</v>
      </c>
      <c r="E463">
        <v>5</v>
      </c>
      <c r="F463">
        <v>8</v>
      </c>
      <c r="G463">
        <v>27</v>
      </c>
    </row>
    <row r="464" spans="1:7" x14ac:dyDescent="0.2">
      <c r="A464">
        <v>463</v>
      </c>
      <c r="B464">
        <v>0</v>
      </c>
      <c r="C464">
        <v>12</v>
      </c>
      <c r="D464">
        <v>2</v>
      </c>
      <c r="E464">
        <v>5</v>
      </c>
      <c r="F464">
        <v>8</v>
      </c>
      <c r="G464">
        <v>27</v>
      </c>
    </row>
    <row r="465" spans="1:7" x14ac:dyDescent="0.2">
      <c r="A465">
        <v>464</v>
      </c>
      <c r="B465">
        <v>0</v>
      </c>
      <c r="C465">
        <v>12</v>
      </c>
      <c r="D465">
        <v>2</v>
      </c>
      <c r="E465">
        <v>4</v>
      </c>
      <c r="F465">
        <v>8</v>
      </c>
      <c r="G465">
        <v>26</v>
      </c>
    </row>
    <row r="466" spans="1:7" x14ac:dyDescent="0.2">
      <c r="A466">
        <v>465</v>
      </c>
      <c r="B466">
        <v>0</v>
      </c>
      <c r="C466">
        <v>12</v>
      </c>
      <c r="D466">
        <v>2</v>
      </c>
      <c r="E466">
        <v>4</v>
      </c>
      <c r="F466">
        <v>8</v>
      </c>
      <c r="G466">
        <v>26</v>
      </c>
    </row>
    <row r="467" spans="1:7" x14ac:dyDescent="0.2">
      <c r="A467">
        <v>466</v>
      </c>
      <c r="B467">
        <v>0</v>
      </c>
      <c r="C467">
        <v>16</v>
      </c>
      <c r="D467">
        <v>2</v>
      </c>
      <c r="E467">
        <v>4</v>
      </c>
      <c r="F467">
        <v>8</v>
      </c>
      <c r="G467">
        <v>30</v>
      </c>
    </row>
    <row r="468" spans="1:7" x14ac:dyDescent="0.2">
      <c r="A468">
        <v>467</v>
      </c>
      <c r="B468">
        <v>0</v>
      </c>
      <c r="C468">
        <v>16</v>
      </c>
      <c r="D468">
        <v>2</v>
      </c>
      <c r="E468">
        <v>4</v>
      </c>
      <c r="F468">
        <v>8</v>
      </c>
      <c r="G468">
        <v>30</v>
      </c>
    </row>
    <row r="469" spans="1:7" x14ac:dyDescent="0.2">
      <c r="A469">
        <v>468</v>
      </c>
      <c r="B469">
        <v>0</v>
      </c>
      <c r="C469">
        <v>16</v>
      </c>
      <c r="D469">
        <v>2</v>
      </c>
      <c r="E469">
        <v>4</v>
      </c>
      <c r="F469">
        <v>8</v>
      </c>
      <c r="G469">
        <v>30</v>
      </c>
    </row>
    <row r="470" spans="1:7" x14ac:dyDescent="0.2">
      <c r="A470">
        <v>469</v>
      </c>
      <c r="B470">
        <v>0</v>
      </c>
      <c r="C470">
        <v>8</v>
      </c>
      <c r="D470">
        <v>6</v>
      </c>
      <c r="E470">
        <v>4</v>
      </c>
      <c r="F470">
        <v>8</v>
      </c>
      <c r="G470">
        <v>26</v>
      </c>
    </row>
    <row r="471" spans="1:7" x14ac:dyDescent="0.2">
      <c r="A471">
        <v>470</v>
      </c>
      <c r="B471">
        <v>0</v>
      </c>
      <c r="C471">
        <v>9</v>
      </c>
      <c r="D471">
        <v>6</v>
      </c>
      <c r="E471">
        <v>4</v>
      </c>
      <c r="F471">
        <v>8</v>
      </c>
      <c r="G471">
        <v>27</v>
      </c>
    </row>
    <row r="472" spans="1:7" x14ac:dyDescent="0.2">
      <c r="A472">
        <v>471</v>
      </c>
      <c r="B472">
        <v>0</v>
      </c>
      <c r="C472">
        <v>9</v>
      </c>
      <c r="D472">
        <v>6</v>
      </c>
      <c r="E472">
        <v>4</v>
      </c>
      <c r="F472">
        <v>8</v>
      </c>
      <c r="G472">
        <v>27</v>
      </c>
    </row>
    <row r="473" spans="1:7" x14ac:dyDescent="0.2">
      <c r="A473">
        <v>472</v>
      </c>
      <c r="B473">
        <v>0</v>
      </c>
      <c r="C473">
        <v>9</v>
      </c>
      <c r="D473">
        <v>6</v>
      </c>
      <c r="E473">
        <v>4</v>
      </c>
      <c r="F473">
        <v>8</v>
      </c>
      <c r="G473">
        <v>27</v>
      </c>
    </row>
    <row r="474" spans="1:7" x14ac:dyDescent="0.2">
      <c r="A474">
        <v>473</v>
      </c>
      <c r="B474">
        <v>0</v>
      </c>
      <c r="C474">
        <v>9</v>
      </c>
      <c r="D474">
        <v>6</v>
      </c>
      <c r="E474">
        <v>4</v>
      </c>
      <c r="F474">
        <v>8</v>
      </c>
      <c r="G474">
        <v>27</v>
      </c>
    </row>
    <row r="475" spans="1:7" x14ac:dyDescent="0.2">
      <c r="A475">
        <v>474</v>
      </c>
      <c r="B475">
        <v>0</v>
      </c>
      <c r="C475">
        <v>9</v>
      </c>
      <c r="D475">
        <v>6</v>
      </c>
      <c r="E475">
        <v>6</v>
      </c>
      <c r="F475">
        <v>6</v>
      </c>
      <c r="G475">
        <v>27</v>
      </c>
    </row>
    <row r="476" spans="1:7" x14ac:dyDescent="0.2">
      <c r="A476">
        <v>475</v>
      </c>
      <c r="B476">
        <v>0</v>
      </c>
      <c r="C476">
        <v>9</v>
      </c>
      <c r="D476">
        <v>6</v>
      </c>
      <c r="E476">
        <v>6</v>
      </c>
      <c r="F476">
        <v>6</v>
      </c>
      <c r="G476">
        <v>27</v>
      </c>
    </row>
    <row r="477" spans="1:7" x14ac:dyDescent="0.2">
      <c r="A477">
        <v>476</v>
      </c>
      <c r="B477">
        <v>0</v>
      </c>
      <c r="C477">
        <v>9</v>
      </c>
      <c r="D477">
        <v>6</v>
      </c>
      <c r="E477">
        <v>6</v>
      </c>
      <c r="F477">
        <v>4</v>
      </c>
      <c r="G477">
        <v>25</v>
      </c>
    </row>
    <row r="478" spans="1:7" x14ac:dyDescent="0.2">
      <c r="A478">
        <v>477</v>
      </c>
      <c r="B478">
        <v>0</v>
      </c>
      <c r="C478">
        <v>9</v>
      </c>
      <c r="D478">
        <v>6</v>
      </c>
      <c r="E478">
        <v>6</v>
      </c>
      <c r="F478">
        <v>4</v>
      </c>
      <c r="G478">
        <v>25</v>
      </c>
    </row>
    <row r="479" spans="1:7" x14ac:dyDescent="0.2">
      <c r="A479">
        <v>478</v>
      </c>
      <c r="B479">
        <v>0</v>
      </c>
      <c r="C479">
        <v>9</v>
      </c>
      <c r="D479">
        <v>6</v>
      </c>
      <c r="E479">
        <v>5</v>
      </c>
      <c r="F479">
        <v>4</v>
      </c>
      <c r="G479">
        <v>24</v>
      </c>
    </row>
    <row r="480" spans="1:7" x14ac:dyDescent="0.2">
      <c r="A480">
        <v>479</v>
      </c>
      <c r="B480">
        <v>0</v>
      </c>
      <c r="C480">
        <v>9</v>
      </c>
      <c r="D480">
        <v>6</v>
      </c>
      <c r="E480">
        <v>5</v>
      </c>
      <c r="F480">
        <v>4</v>
      </c>
      <c r="G480">
        <v>24</v>
      </c>
    </row>
    <row r="481" spans="1:7" x14ac:dyDescent="0.2">
      <c r="A481">
        <v>480</v>
      </c>
      <c r="B481">
        <v>0</v>
      </c>
      <c r="C481">
        <v>9</v>
      </c>
      <c r="D481">
        <v>6</v>
      </c>
      <c r="E481">
        <v>5</v>
      </c>
      <c r="F481">
        <v>4</v>
      </c>
      <c r="G481">
        <v>24</v>
      </c>
    </row>
    <row r="482" spans="1:7" x14ac:dyDescent="0.2">
      <c r="A482">
        <v>481</v>
      </c>
      <c r="B482">
        <v>0</v>
      </c>
      <c r="C482">
        <v>9</v>
      </c>
      <c r="D482">
        <v>6</v>
      </c>
      <c r="E482">
        <v>5</v>
      </c>
      <c r="F482">
        <v>7</v>
      </c>
      <c r="G482">
        <v>27</v>
      </c>
    </row>
    <row r="483" spans="1:7" x14ac:dyDescent="0.2">
      <c r="A483">
        <v>482</v>
      </c>
      <c r="B483">
        <v>0</v>
      </c>
      <c r="C483">
        <v>9</v>
      </c>
      <c r="D483">
        <v>6</v>
      </c>
      <c r="E483">
        <v>5</v>
      </c>
      <c r="F483">
        <v>7</v>
      </c>
      <c r="G483">
        <v>27</v>
      </c>
    </row>
    <row r="484" spans="1:7" x14ac:dyDescent="0.2">
      <c r="A484">
        <v>483</v>
      </c>
      <c r="B484">
        <v>0</v>
      </c>
      <c r="C484">
        <v>9</v>
      </c>
      <c r="D484">
        <v>6</v>
      </c>
      <c r="E484">
        <v>5</v>
      </c>
      <c r="F484">
        <v>7</v>
      </c>
      <c r="G484">
        <v>27</v>
      </c>
    </row>
    <row r="485" spans="1:7" x14ac:dyDescent="0.2">
      <c r="A485">
        <v>484</v>
      </c>
      <c r="B485">
        <v>0</v>
      </c>
      <c r="C485">
        <v>9</v>
      </c>
      <c r="D485">
        <v>6</v>
      </c>
      <c r="E485">
        <v>5</v>
      </c>
      <c r="F485">
        <v>8</v>
      </c>
      <c r="G485">
        <v>28</v>
      </c>
    </row>
    <row r="486" spans="1:7" x14ac:dyDescent="0.2">
      <c r="A486">
        <v>485</v>
      </c>
      <c r="B486">
        <v>0</v>
      </c>
      <c r="C486">
        <v>9</v>
      </c>
      <c r="D486">
        <v>6</v>
      </c>
      <c r="E486">
        <v>5</v>
      </c>
      <c r="F486">
        <v>8</v>
      </c>
      <c r="G486">
        <v>28</v>
      </c>
    </row>
    <row r="487" spans="1:7" x14ac:dyDescent="0.2">
      <c r="A487">
        <v>486</v>
      </c>
      <c r="B487">
        <v>0</v>
      </c>
      <c r="C487">
        <v>9</v>
      </c>
      <c r="D487">
        <v>6</v>
      </c>
      <c r="E487">
        <v>5</v>
      </c>
      <c r="F487">
        <v>8</v>
      </c>
      <c r="G487">
        <v>28</v>
      </c>
    </row>
    <row r="488" spans="1:7" x14ac:dyDescent="0.2">
      <c r="A488">
        <v>487</v>
      </c>
      <c r="B488">
        <v>0</v>
      </c>
      <c r="C488">
        <v>9</v>
      </c>
      <c r="D488">
        <v>6</v>
      </c>
      <c r="E488">
        <v>5</v>
      </c>
      <c r="F488">
        <v>8</v>
      </c>
      <c r="G488">
        <v>28</v>
      </c>
    </row>
    <row r="489" spans="1:7" x14ac:dyDescent="0.2">
      <c r="A489">
        <v>488</v>
      </c>
      <c r="B489">
        <v>0</v>
      </c>
      <c r="C489">
        <v>9</v>
      </c>
      <c r="D489">
        <v>6</v>
      </c>
      <c r="E489">
        <v>5</v>
      </c>
      <c r="F489">
        <v>8</v>
      </c>
      <c r="G489">
        <v>28</v>
      </c>
    </row>
    <row r="490" spans="1:7" x14ac:dyDescent="0.2">
      <c r="A490">
        <v>489</v>
      </c>
      <c r="B490">
        <v>0</v>
      </c>
      <c r="C490">
        <v>9</v>
      </c>
      <c r="D490">
        <v>6</v>
      </c>
      <c r="E490">
        <v>3</v>
      </c>
      <c r="F490">
        <v>8</v>
      </c>
      <c r="G490">
        <v>26</v>
      </c>
    </row>
    <row r="491" spans="1:7" x14ac:dyDescent="0.2">
      <c r="A491">
        <v>490</v>
      </c>
      <c r="B491">
        <v>0</v>
      </c>
      <c r="C491">
        <v>9</v>
      </c>
      <c r="D491">
        <v>6</v>
      </c>
      <c r="E491">
        <v>3</v>
      </c>
      <c r="F491">
        <v>8</v>
      </c>
      <c r="G491">
        <v>26</v>
      </c>
    </row>
    <row r="492" spans="1:7" x14ac:dyDescent="0.2">
      <c r="A492">
        <v>491</v>
      </c>
      <c r="B492">
        <v>0</v>
      </c>
      <c r="C492">
        <v>9</v>
      </c>
      <c r="D492">
        <v>6</v>
      </c>
      <c r="E492">
        <v>3</v>
      </c>
      <c r="F492">
        <v>8</v>
      </c>
      <c r="G492">
        <v>26</v>
      </c>
    </row>
    <row r="493" spans="1:7" x14ac:dyDescent="0.2">
      <c r="A493">
        <v>492</v>
      </c>
      <c r="B493">
        <v>0</v>
      </c>
      <c r="C493">
        <v>9</v>
      </c>
      <c r="D493">
        <v>6</v>
      </c>
      <c r="E493">
        <v>3</v>
      </c>
      <c r="F493">
        <v>8</v>
      </c>
      <c r="G493">
        <v>26</v>
      </c>
    </row>
    <row r="494" spans="1:7" x14ac:dyDescent="0.2">
      <c r="A494">
        <v>493</v>
      </c>
      <c r="B494">
        <v>0</v>
      </c>
      <c r="C494">
        <v>9</v>
      </c>
      <c r="D494">
        <v>6</v>
      </c>
      <c r="E494">
        <v>3</v>
      </c>
      <c r="F494">
        <v>8</v>
      </c>
      <c r="G494">
        <v>26</v>
      </c>
    </row>
    <row r="495" spans="1:7" x14ac:dyDescent="0.2">
      <c r="A495">
        <v>494</v>
      </c>
      <c r="B495">
        <v>0</v>
      </c>
      <c r="C495">
        <v>9</v>
      </c>
      <c r="D495">
        <v>6</v>
      </c>
      <c r="E495">
        <v>3</v>
      </c>
      <c r="F495">
        <v>8</v>
      </c>
      <c r="G495">
        <v>26</v>
      </c>
    </row>
    <row r="496" spans="1:7" x14ac:dyDescent="0.2">
      <c r="A496">
        <v>495</v>
      </c>
      <c r="B496">
        <v>0</v>
      </c>
      <c r="C496">
        <v>9</v>
      </c>
      <c r="D496">
        <v>6</v>
      </c>
      <c r="E496">
        <v>3</v>
      </c>
      <c r="F496">
        <v>8</v>
      </c>
      <c r="G496">
        <v>26</v>
      </c>
    </row>
    <row r="497" spans="1:7" x14ac:dyDescent="0.2">
      <c r="A497">
        <v>496</v>
      </c>
      <c r="B497" s="39">
        <v>8</v>
      </c>
      <c r="C497">
        <v>5</v>
      </c>
      <c r="D497">
        <v>6</v>
      </c>
      <c r="E497">
        <v>3</v>
      </c>
      <c r="F497">
        <v>8</v>
      </c>
      <c r="G497">
        <v>30</v>
      </c>
    </row>
    <row r="498" spans="1:7" x14ac:dyDescent="0.2">
      <c r="A498">
        <v>497</v>
      </c>
      <c r="B498" s="39">
        <v>8</v>
      </c>
      <c r="C498">
        <v>5</v>
      </c>
      <c r="D498">
        <v>6</v>
      </c>
      <c r="E498">
        <v>3</v>
      </c>
      <c r="F498">
        <v>8</v>
      </c>
      <c r="G498">
        <v>30</v>
      </c>
    </row>
    <row r="499" spans="1:7" x14ac:dyDescent="0.2">
      <c r="A499">
        <v>498</v>
      </c>
      <c r="B499" s="39">
        <v>8</v>
      </c>
      <c r="C499">
        <v>5</v>
      </c>
      <c r="D499">
        <v>6</v>
      </c>
      <c r="E499">
        <v>3</v>
      </c>
      <c r="F499">
        <v>8</v>
      </c>
      <c r="G499">
        <v>30</v>
      </c>
    </row>
    <row r="500" spans="1:7" x14ac:dyDescent="0.2">
      <c r="A500">
        <v>499</v>
      </c>
      <c r="B500" s="39">
        <v>8</v>
      </c>
      <c r="C500">
        <v>5</v>
      </c>
      <c r="D500">
        <v>2</v>
      </c>
      <c r="E500">
        <v>5</v>
      </c>
      <c r="F500">
        <v>8</v>
      </c>
      <c r="G500">
        <v>28</v>
      </c>
    </row>
    <row r="501" spans="1:7" x14ac:dyDescent="0.2">
      <c r="A501">
        <v>500</v>
      </c>
      <c r="B501" s="39">
        <v>8</v>
      </c>
      <c r="C501">
        <v>4</v>
      </c>
      <c r="D501">
        <v>2</v>
      </c>
      <c r="E501">
        <v>5</v>
      </c>
      <c r="F501">
        <v>8</v>
      </c>
      <c r="G501">
        <v>27</v>
      </c>
    </row>
    <row r="502" spans="1:7" x14ac:dyDescent="0.2">
      <c r="A502">
        <v>501</v>
      </c>
      <c r="B502" s="39">
        <v>8</v>
      </c>
      <c r="C502">
        <v>4</v>
      </c>
      <c r="D502">
        <v>2</v>
      </c>
      <c r="E502">
        <v>5</v>
      </c>
      <c r="F502">
        <v>8</v>
      </c>
      <c r="G502">
        <v>27</v>
      </c>
    </row>
    <row r="503" spans="1:7" x14ac:dyDescent="0.2">
      <c r="A503">
        <v>502</v>
      </c>
      <c r="B503" s="39">
        <v>8</v>
      </c>
      <c r="C503">
        <v>4</v>
      </c>
      <c r="D503">
        <v>2</v>
      </c>
      <c r="E503">
        <v>5</v>
      </c>
      <c r="F503">
        <v>8</v>
      </c>
      <c r="G503">
        <v>27</v>
      </c>
    </row>
    <row r="504" spans="1:7" x14ac:dyDescent="0.2">
      <c r="A504">
        <v>503</v>
      </c>
      <c r="B504" s="39">
        <v>8</v>
      </c>
      <c r="C504">
        <v>4</v>
      </c>
      <c r="D504">
        <v>2</v>
      </c>
      <c r="E504">
        <v>5</v>
      </c>
      <c r="F504">
        <v>8</v>
      </c>
      <c r="G504">
        <v>27</v>
      </c>
    </row>
    <row r="505" spans="1:7" x14ac:dyDescent="0.2">
      <c r="A505">
        <v>504</v>
      </c>
      <c r="B505" s="39">
        <v>8</v>
      </c>
      <c r="C505">
        <v>4</v>
      </c>
      <c r="D505">
        <v>2</v>
      </c>
      <c r="E505">
        <v>5</v>
      </c>
      <c r="F505">
        <v>8</v>
      </c>
      <c r="G505">
        <v>27</v>
      </c>
    </row>
    <row r="506" spans="1:7" x14ac:dyDescent="0.2">
      <c r="A506">
        <v>505</v>
      </c>
      <c r="B506" s="39">
        <v>8</v>
      </c>
      <c r="C506">
        <v>4</v>
      </c>
      <c r="D506">
        <v>2</v>
      </c>
      <c r="E506">
        <v>5</v>
      </c>
      <c r="F506">
        <v>8</v>
      </c>
      <c r="G506">
        <v>27</v>
      </c>
    </row>
    <row r="507" spans="1:7" x14ac:dyDescent="0.2">
      <c r="A507">
        <v>506</v>
      </c>
      <c r="B507" s="39">
        <v>8</v>
      </c>
      <c r="C507">
        <v>4</v>
      </c>
      <c r="D507">
        <v>2</v>
      </c>
      <c r="E507">
        <v>5</v>
      </c>
      <c r="F507">
        <v>8</v>
      </c>
      <c r="G507">
        <v>27</v>
      </c>
    </row>
    <row r="508" spans="1:7" x14ac:dyDescent="0.2">
      <c r="A508">
        <v>507</v>
      </c>
      <c r="B508" s="39">
        <v>8</v>
      </c>
      <c r="C508">
        <v>4</v>
      </c>
      <c r="D508">
        <v>2</v>
      </c>
      <c r="E508">
        <v>5</v>
      </c>
      <c r="F508">
        <v>8</v>
      </c>
      <c r="G508">
        <v>27</v>
      </c>
    </row>
    <row r="509" spans="1:7" x14ac:dyDescent="0.2">
      <c r="A509">
        <v>508</v>
      </c>
      <c r="B509" s="39">
        <v>8</v>
      </c>
      <c r="C509">
        <v>0</v>
      </c>
      <c r="D509">
        <v>8</v>
      </c>
      <c r="E509">
        <v>5</v>
      </c>
      <c r="F509">
        <v>8</v>
      </c>
      <c r="G509">
        <v>29</v>
      </c>
    </row>
    <row r="510" spans="1:7" x14ac:dyDescent="0.2">
      <c r="A510">
        <v>509</v>
      </c>
      <c r="B510" s="39">
        <v>8</v>
      </c>
      <c r="C510">
        <v>0</v>
      </c>
      <c r="D510">
        <v>8</v>
      </c>
      <c r="E510">
        <v>5</v>
      </c>
      <c r="F510">
        <v>8</v>
      </c>
      <c r="G510">
        <v>29</v>
      </c>
    </row>
    <row r="511" spans="1:7" x14ac:dyDescent="0.2">
      <c r="A511">
        <v>510</v>
      </c>
      <c r="B511" s="39">
        <v>8</v>
      </c>
      <c r="C511">
        <v>0</v>
      </c>
      <c r="D511">
        <v>8</v>
      </c>
      <c r="E511">
        <v>5</v>
      </c>
      <c r="F511">
        <v>8</v>
      </c>
      <c r="G511">
        <v>29</v>
      </c>
    </row>
    <row r="512" spans="1:7" x14ac:dyDescent="0.2">
      <c r="A512">
        <v>511</v>
      </c>
      <c r="B512">
        <v>0</v>
      </c>
      <c r="C512">
        <v>0</v>
      </c>
      <c r="D512">
        <v>8</v>
      </c>
      <c r="E512">
        <v>7</v>
      </c>
      <c r="F512">
        <v>8</v>
      </c>
      <c r="G512">
        <v>23</v>
      </c>
    </row>
    <row r="513" spans="1:7" x14ac:dyDescent="0.2">
      <c r="A513">
        <v>512</v>
      </c>
      <c r="B513">
        <v>0</v>
      </c>
      <c r="C513">
        <v>0</v>
      </c>
      <c r="D513">
        <v>8</v>
      </c>
      <c r="E513">
        <v>7</v>
      </c>
      <c r="F513">
        <v>8</v>
      </c>
      <c r="G513">
        <v>23</v>
      </c>
    </row>
    <row r="514" spans="1:7" x14ac:dyDescent="0.2">
      <c r="A514">
        <v>513</v>
      </c>
      <c r="B514">
        <v>0</v>
      </c>
      <c r="C514">
        <v>0</v>
      </c>
      <c r="D514">
        <v>8</v>
      </c>
      <c r="E514">
        <v>7</v>
      </c>
      <c r="F514">
        <v>8</v>
      </c>
      <c r="G514">
        <v>23</v>
      </c>
    </row>
    <row r="515" spans="1:7" x14ac:dyDescent="0.2">
      <c r="A515">
        <v>514</v>
      </c>
      <c r="B515">
        <v>0</v>
      </c>
      <c r="C515">
        <v>5</v>
      </c>
      <c r="D515">
        <v>10</v>
      </c>
      <c r="E515">
        <v>5</v>
      </c>
      <c r="F515">
        <v>8</v>
      </c>
      <c r="G515">
        <v>28</v>
      </c>
    </row>
    <row r="516" spans="1:7" x14ac:dyDescent="0.2">
      <c r="A516">
        <v>515</v>
      </c>
      <c r="B516">
        <v>0</v>
      </c>
      <c r="C516">
        <v>5</v>
      </c>
      <c r="D516">
        <v>10</v>
      </c>
      <c r="E516">
        <v>5</v>
      </c>
      <c r="F516">
        <v>8</v>
      </c>
      <c r="G516">
        <v>28</v>
      </c>
    </row>
    <row r="517" spans="1:7" x14ac:dyDescent="0.2">
      <c r="A517">
        <v>516</v>
      </c>
      <c r="B517">
        <v>0</v>
      </c>
      <c r="C517">
        <v>5</v>
      </c>
      <c r="D517">
        <v>10</v>
      </c>
      <c r="E517">
        <v>5</v>
      </c>
      <c r="F517">
        <v>8</v>
      </c>
      <c r="G517">
        <v>28</v>
      </c>
    </row>
    <row r="518" spans="1:7" x14ac:dyDescent="0.2">
      <c r="A518">
        <v>517</v>
      </c>
      <c r="B518">
        <v>0</v>
      </c>
      <c r="C518">
        <v>5</v>
      </c>
      <c r="D518">
        <v>10</v>
      </c>
      <c r="E518">
        <v>7</v>
      </c>
      <c r="F518">
        <v>8</v>
      </c>
      <c r="G518">
        <v>30</v>
      </c>
    </row>
    <row r="519" spans="1:7" x14ac:dyDescent="0.2">
      <c r="A519">
        <v>518</v>
      </c>
      <c r="B519">
        <v>0</v>
      </c>
      <c r="C519">
        <v>5</v>
      </c>
      <c r="D519">
        <v>10</v>
      </c>
      <c r="E519">
        <v>7</v>
      </c>
      <c r="F519">
        <v>8</v>
      </c>
      <c r="G519">
        <v>30</v>
      </c>
    </row>
    <row r="520" spans="1:7" x14ac:dyDescent="0.2">
      <c r="A520">
        <v>519</v>
      </c>
      <c r="B520">
        <v>0</v>
      </c>
      <c r="C520">
        <v>5</v>
      </c>
      <c r="D520">
        <v>10</v>
      </c>
      <c r="E520">
        <v>7</v>
      </c>
      <c r="F520">
        <v>8</v>
      </c>
      <c r="G520">
        <v>30</v>
      </c>
    </row>
    <row r="521" spans="1:7" x14ac:dyDescent="0.2">
      <c r="A521">
        <v>520</v>
      </c>
      <c r="B521">
        <v>0</v>
      </c>
      <c r="C521">
        <v>5</v>
      </c>
      <c r="D521">
        <v>10</v>
      </c>
      <c r="E521">
        <v>6</v>
      </c>
      <c r="F521">
        <v>8</v>
      </c>
      <c r="G521">
        <v>29</v>
      </c>
    </row>
    <row r="522" spans="1:7" x14ac:dyDescent="0.2">
      <c r="A522">
        <v>521</v>
      </c>
      <c r="B522">
        <v>0</v>
      </c>
      <c r="C522">
        <v>5</v>
      </c>
      <c r="D522">
        <v>10</v>
      </c>
      <c r="E522">
        <v>5</v>
      </c>
      <c r="F522">
        <v>8</v>
      </c>
      <c r="G522">
        <v>28</v>
      </c>
    </row>
    <row r="523" spans="1:7" x14ac:dyDescent="0.2">
      <c r="A523">
        <v>522</v>
      </c>
      <c r="B523">
        <v>0</v>
      </c>
      <c r="C523">
        <v>5</v>
      </c>
      <c r="D523">
        <v>10</v>
      </c>
      <c r="E523">
        <v>5</v>
      </c>
      <c r="F523">
        <v>8</v>
      </c>
      <c r="G523">
        <v>28</v>
      </c>
    </row>
    <row r="524" spans="1:7" x14ac:dyDescent="0.2">
      <c r="A524">
        <v>523</v>
      </c>
      <c r="B524">
        <v>0</v>
      </c>
      <c r="C524">
        <v>5</v>
      </c>
      <c r="D524">
        <v>10</v>
      </c>
      <c r="E524">
        <v>5</v>
      </c>
      <c r="F524">
        <v>8</v>
      </c>
      <c r="G524">
        <v>28</v>
      </c>
    </row>
    <row r="525" spans="1:7" x14ac:dyDescent="0.2">
      <c r="A525">
        <v>524</v>
      </c>
      <c r="B525">
        <v>0</v>
      </c>
      <c r="C525">
        <v>5</v>
      </c>
      <c r="D525">
        <v>10</v>
      </c>
      <c r="E525">
        <v>5</v>
      </c>
      <c r="F525">
        <v>8</v>
      </c>
      <c r="G525">
        <v>28</v>
      </c>
    </row>
    <row r="526" spans="1:7" x14ac:dyDescent="0.2">
      <c r="A526">
        <v>525</v>
      </c>
      <c r="B526">
        <v>0</v>
      </c>
      <c r="C526">
        <v>5</v>
      </c>
      <c r="D526">
        <v>10</v>
      </c>
      <c r="E526">
        <v>5</v>
      </c>
      <c r="F526">
        <v>8</v>
      </c>
      <c r="G526">
        <v>28</v>
      </c>
    </row>
    <row r="527" spans="1:7" x14ac:dyDescent="0.2">
      <c r="A527">
        <v>526</v>
      </c>
      <c r="B527">
        <v>0</v>
      </c>
      <c r="C527">
        <v>5</v>
      </c>
      <c r="D527">
        <v>10</v>
      </c>
      <c r="E527">
        <v>3</v>
      </c>
      <c r="F527">
        <v>8</v>
      </c>
      <c r="G527">
        <v>26</v>
      </c>
    </row>
    <row r="528" spans="1:7" x14ac:dyDescent="0.2">
      <c r="A528">
        <v>527</v>
      </c>
      <c r="B528">
        <v>0</v>
      </c>
      <c r="C528">
        <v>5</v>
      </c>
      <c r="D528">
        <v>10</v>
      </c>
      <c r="E528">
        <v>3</v>
      </c>
      <c r="F528">
        <v>8</v>
      </c>
      <c r="G528">
        <v>26</v>
      </c>
    </row>
    <row r="529" spans="1:7" x14ac:dyDescent="0.2">
      <c r="A529">
        <v>528</v>
      </c>
      <c r="B529">
        <v>0</v>
      </c>
      <c r="C529">
        <v>5</v>
      </c>
      <c r="D529">
        <v>10</v>
      </c>
      <c r="E529">
        <v>3</v>
      </c>
      <c r="F529">
        <v>8</v>
      </c>
      <c r="G529">
        <v>26</v>
      </c>
    </row>
    <row r="530" spans="1:7" x14ac:dyDescent="0.2">
      <c r="A530">
        <v>529</v>
      </c>
      <c r="B530">
        <v>0</v>
      </c>
      <c r="C530">
        <v>5</v>
      </c>
      <c r="D530">
        <v>16</v>
      </c>
      <c r="E530">
        <v>3</v>
      </c>
      <c r="F530">
        <v>8</v>
      </c>
      <c r="G530">
        <v>32</v>
      </c>
    </row>
    <row r="531" spans="1:7" x14ac:dyDescent="0.2">
      <c r="A531">
        <v>530</v>
      </c>
      <c r="B531">
        <v>0</v>
      </c>
      <c r="C531">
        <v>5</v>
      </c>
      <c r="D531">
        <v>16</v>
      </c>
      <c r="E531">
        <v>3</v>
      </c>
      <c r="F531">
        <v>8</v>
      </c>
      <c r="G531">
        <v>32</v>
      </c>
    </row>
    <row r="532" spans="1:7" x14ac:dyDescent="0.2">
      <c r="A532">
        <v>531</v>
      </c>
      <c r="B532">
        <v>0</v>
      </c>
      <c r="C532">
        <v>5</v>
      </c>
      <c r="D532">
        <v>16</v>
      </c>
      <c r="E532">
        <v>3</v>
      </c>
      <c r="F532">
        <v>8</v>
      </c>
      <c r="G532">
        <v>32</v>
      </c>
    </row>
    <row r="533" spans="1:7" x14ac:dyDescent="0.2">
      <c r="A533">
        <v>532</v>
      </c>
      <c r="B533">
        <v>0</v>
      </c>
      <c r="C533">
        <v>5</v>
      </c>
      <c r="D533">
        <v>16</v>
      </c>
      <c r="E533">
        <v>1</v>
      </c>
      <c r="F533">
        <v>8</v>
      </c>
      <c r="G533">
        <v>30</v>
      </c>
    </row>
    <row r="534" spans="1:7" x14ac:dyDescent="0.2">
      <c r="A534">
        <v>533</v>
      </c>
      <c r="B534">
        <v>0</v>
      </c>
      <c r="C534">
        <v>5</v>
      </c>
      <c r="D534">
        <v>16</v>
      </c>
      <c r="E534">
        <v>1</v>
      </c>
      <c r="F534">
        <v>8</v>
      </c>
      <c r="G534">
        <v>30</v>
      </c>
    </row>
    <row r="535" spans="1:7" x14ac:dyDescent="0.2">
      <c r="A535">
        <v>534</v>
      </c>
      <c r="B535">
        <v>0</v>
      </c>
      <c r="C535">
        <v>5</v>
      </c>
      <c r="D535">
        <v>16</v>
      </c>
      <c r="E535">
        <v>1</v>
      </c>
      <c r="F535">
        <v>8</v>
      </c>
      <c r="G535">
        <v>30</v>
      </c>
    </row>
    <row r="536" spans="1:7" x14ac:dyDescent="0.2">
      <c r="A536">
        <v>535</v>
      </c>
      <c r="B536">
        <v>0</v>
      </c>
      <c r="C536">
        <v>5</v>
      </c>
      <c r="D536">
        <v>16</v>
      </c>
      <c r="E536">
        <v>1</v>
      </c>
      <c r="F536">
        <v>8</v>
      </c>
      <c r="G536">
        <v>30</v>
      </c>
    </row>
    <row r="537" spans="1:7" x14ac:dyDescent="0.2">
      <c r="A537">
        <v>536</v>
      </c>
      <c r="B537">
        <v>0</v>
      </c>
      <c r="C537">
        <v>5</v>
      </c>
      <c r="D537">
        <v>16</v>
      </c>
      <c r="E537">
        <v>1</v>
      </c>
      <c r="F537">
        <v>8</v>
      </c>
      <c r="G537">
        <v>30</v>
      </c>
    </row>
    <row r="538" spans="1:7" x14ac:dyDescent="0.2">
      <c r="A538">
        <v>537</v>
      </c>
      <c r="B538">
        <v>0</v>
      </c>
      <c r="C538">
        <v>5</v>
      </c>
      <c r="D538">
        <v>16</v>
      </c>
      <c r="E538">
        <v>1</v>
      </c>
      <c r="F538">
        <v>8</v>
      </c>
      <c r="G538">
        <v>30</v>
      </c>
    </row>
    <row r="539" spans="1:7" x14ac:dyDescent="0.2">
      <c r="A539">
        <v>538</v>
      </c>
      <c r="B539">
        <v>0</v>
      </c>
      <c r="C539">
        <v>5</v>
      </c>
      <c r="D539">
        <v>10</v>
      </c>
      <c r="E539">
        <v>1</v>
      </c>
      <c r="F539">
        <v>12</v>
      </c>
      <c r="G539">
        <v>28</v>
      </c>
    </row>
    <row r="540" spans="1:7" x14ac:dyDescent="0.2">
      <c r="A540">
        <v>539</v>
      </c>
      <c r="B540">
        <v>0</v>
      </c>
      <c r="C540">
        <v>5</v>
      </c>
      <c r="D540">
        <v>10</v>
      </c>
      <c r="E540">
        <v>1</v>
      </c>
      <c r="F540">
        <v>12</v>
      </c>
      <c r="G540">
        <v>28</v>
      </c>
    </row>
    <row r="541" spans="1:7" x14ac:dyDescent="0.2">
      <c r="A541">
        <v>540</v>
      </c>
      <c r="B541">
        <v>0</v>
      </c>
      <c r="C541">
        <v>5</v>
      </c>
      <c r="D541">
        <v>10</v>
      </c>
      <c r="E541">
        <v>1</v>
      </c>
      <c r="F541">
        <v>12</v>
      </c>
      <c r="G541">
        <v>28</v>
      </c>
    </row>
    <row r="542" spans="1:7" x14ac:dyDescent="0.2">
      <c r="A542">
        <v>541</v>
      </c>
      <c r="B542">
        <v>0</v>
      </c>
      <c r="C542">
        <v>5</v>
      </c>
      <c r="D542">
        <v>10</v>
      </c>
      <c r="E542">
        <v>1</v>
      </c>
      <c r="F542">
        <v>9</v>
      </c>
      <c r="G542">
        <v>25</v>
      </c>
    </row>
    <row r="543" spans="1:7" x14ac:dyDescent="0.2">
      <c r="A543">
        <v>542</v>
      </c>
      <c r="B543">
        <v>0</v>
      </c>
      <c r="C543">
        <v>5</v>
      </c>
      <c r="D543">
        <v>10</v>
      </c>
      <c r="E543">
        <v>1</v>
      </c>
      <c r="F543">
        <v>9</v>
      </c>
      <c r="G543">
        <v>25</v>
      </c>
    </row>
    <row r="544" spans="1:7" x14ac:dyDescent="0.2">
      <c r="A544">
        <v>543</v>
      </c>
      <c r="B544">
        <v>0</v>
      </c>
      <c r="C544">
        <v>5</v>
      </c>
      <c r="D544">
        <v>10</v>
      </c>
      <c r="E544">
        <v>1</v>
      </c>
      <c r="F544">
        <v>9</v>
      </c>
      <c r="G544">
        <v>25</v>
      </c>
    </row>
    <row r="545" spans="1:7" x14ac:dyDescent="0.2">
      <c r="A545">
        <v>544</v>
      </c>
      <c r="B545">
        <v>0</v>
      </c>
      <c r="C545">
        <v>28</v>
      </c>
      <c r="D545">
        <v>2</v>
      </c>
      <c r="E545">
        <v>0</v>
      </c>
      <c r="F545">
        <v>10</v>
      </c>
      <c r="G545">
        <v>40</v>
      </c>
    </row>
    <row r="546" spans="1:7" x14ac:dyDescent="0.2">
      <c r="A546">
        <v>545</v>
      </c>
      <c r="B546">
        <v>0</v>
      </c>
      <c r="C546">
        <v>29</v>
      </c>
      <c r="D546">
        <v>2</v>
      </c>
      <c r="E546">
        <v>0</v>
      </c>
      <c r="F546">
        <v>6</v>
      </c>
      <c r="G546">
        <v>37</v>
      </c>
    </row>
    <row r="547" spans="1:7" x14ac:dyDescent="0.2">
      <c r="A547">
        <v>546</v>
      </c>
      <c r="B547">
        <v>0</v>
      </c>
      <c r="C547">
        <v>30</v>
      </c>
      <c r="D547">
        <v>2</v>
      </c>
      <c r="E547">
        <v>0</v>
      </c>
      <c r="F547">
        <v>6</v>
      </c>
      <c r="G547">
        <v>38</v>
      </c>
    </row>
    <row r="548" spans="1:7" x14ac:dyDescent="0.2">
      <c r="A548">
        <v>547</v>
      </c>
      <c r="B548">
        <v>0</v>
      </c>
      <c r="C548">
        <v>30</v>
      </c>
      <c r="D548">
        <v>2</v>
      </c>
      <c r="E548">
        <v>0</v>
      </c>
      <c r="F548">
        <v>6</v>
      </c>
      <c r="G548">
        <v>38</v>
      </c>
    </row>
    <row r="549" spans="1:7" x14ac:dyDescent="0.2">
      <c r="A549">
        <v>548</v>
      </c>
      <c r="B549">
        <v>0</v>
      </c>
      <c r="C549">
        <v>30</v>
      </c>
      <c r="D549">
        <v>2</v>
      </c>
      <c r="E549">
        <v>0</v>
      </c>
      <c r="F549">
        <v>7</v>
      </c>
      <c r="G549">
        <v>39</v>
      </c>
    </row>
    <row r="550" spans="1:7" x14ac:dyDescent="0.2">
      <c r="A550">
        <v>549</v>
      </c>
      <c r="B550">
        <v>0</v>
      </c>
      <c r="C550">
        <v>30</v>
      </c>
      <c r="D550">
        <v>2</v>
      </c>
      <c r="E550">
        <v>0</v>
      </c>
      <c r="F550">
        <v>7</v>
      </c>
      <c r="G550">
        <v>39</v>
      </c>
    </row>
    <row r="551" spans="1:7" x14ac:dyDescent="0.2">
      <c r="A551">
        <v>550</v>
      </c>
      <c r="B551">
        <v>0</v>
      </c>
      <c r="C551">
        <v>30</v>
      </c>
      <c r="D551">
        <v>2</v>
      </c>
      <c r="E551">
        <v>0</v>
      </c>
      <c r="F551">
        <v>7</v>
      </c>
      <c r="G551">
        <v>39</v>
      </c>
    </row>
    <row r="552" spans="1:7" x14ac:dyDescent="0.2">
      <c r="A552">
        <v>551</v>
      </c>
      <c r="B552">
        <v>0</v>
      </c>
      <c r="C552">
        <v>30</v>
      </c>
      <c r="D552">
        <v>2</v>
      </c>
      <c r="E552">
        <v>0</v>
      </c>
      <c r="F552">
        <v>7</v>
      </c>
      <c r="G552">
        <v>39</v>
      </c>
    </row>
    <row r="553" spans="1:7" x14ac:dyDescent="0.2">
      <c r="A553">
        <v>552</v>
      </c>
      <c r="B553">
        <v>0</v>
      </c>
      <c r="C553">
        <v>30</v>
      </c>
      <c r="D553">
        <v>2</v>
      </c>
      <c r="E553">
        <v>0</v>
      </c>
      <c r="F553">
        <v>7</v>
      </c>
      <c r="G553">
        <v>39</v>
      </c>
    </row>
    <row r="554" spans="1:7" x14ac:dyDescent="0.2">
      <c r="A554">
        <v>553</v>
      </c>
      <c r="B554">
        <v>0</v>
      </c>
      <c r="C554">
        <v>31</v>
      </c>
      <c r="D554">
        <v>4</v>
      </c>
      <c r="E554">
        <v>0</v>
      </c>
      <c r="F554">
        <v>7</v>
      </c>
      <c r="G554">
        <v>42</v>
      </c>
    </row>
    <row r="555" spans="1:7" x14ac:dyDescent="0.2">
      <c r="A555">
        <v>554</v>
      </c>
      <c r="B555">
        <v>0</v>
      </c>
      <c r="C555">
        <v>31</v>
      </c>
      <c r="D555">
        <v>4</v>
      </c>
      <c r="E555">
        <v>0</v>
      </c>
      <c r="F555">
        <v>7</v>
      </c>
      <c r="G555">
        <v>42</v>
      </c>
    </row>
    <row r="556" spans="1:7" x14ac:dyDescent="0.2">
      <c r="A556">
        <v>555</v>
      </c>
      <c r="B556">
        <v>0</v>
      </c>
      <c r="C556">
        <v>32</v>
      </c>
      <c r="D556">
        <v>4</v>
      </c>
      <c r="E556">
        <v>0</v>
      </c>
      <c r="F556">
        <v>7</v>
      </c>
      <c r="G556">
        <v>43</v>
      </c>
    </row>
    <row r="557" spans="1:7" x14ac:dyDescent="0.2">
      <c r="A557">
        <v>556</v>
      </c>
      <c r="B557">
        <v>0</v>
      </c>
      <c r="C557">
        <v>35</v>
      </c>
      <c r="D557">
        <v>4</v>
      </c>
      <c r="E557">
        <v>0</v>
      </c>
      <c r="F557">
        <v>8</v>
      </c>
      <c r="G557">
        <v>47</v>
      </c>
    </row>
    <row r="558" spans="1:7" x14ac:dyDescent="0.2">
      <c r="A558">
        <v>557</v>
      </c>
      <c r="B558">
        <v>0</v>
      </c>
      <c r="C558">
        <v>35</v>
      </c>
      <c r="D558">
        <v>4</v>
      </c>
      <c r="E558">
        <v>0</v>
      </c>
      <c r="F558">
        <v>8</v>
      </c>
      <c r="G558">
        <v>47</v>
      </c>
    </row>
    <row r="559" spans="1:7" x14ac:dyDescent="0.2">
      <c r="A559">
        <v>558</v>
      </c>
      <c r="B559">
        <v>0</v>
      </c>
      <c r="C559">
        <v>35</v>
      </c>
      <c r="D559">
        <v>4</v>
      </c>
      <c r="E559">
        <v>0</v>
      </c>
      <c r="F559">
        <v>8</v>
      </c>
      <c r="G559">
        <v>47</v>
      </c>
    </row>
    <row r="560" spans="1:7" x14ac:dyDescent="0.2">
      <c r="A560">
        <v>559</v>
      </c>
      <c r="B560">
        <v>0</v>
      </c>
      <c r="C560">
        <v>35</v>
      </c>
      <c r="D560">
        <v>4</v>
      </c>
      <c r="E560">
        <v>0</v>
      </c>
      <c r="F560">
        <v>8</v>
      </c>
      <c r="G560">
        <v>47</v>
      </c>
    </row>
    <row r="561" spans="1:7" x14ac:dyDescent="0.2">
      <c r="A561">
        <v>560</v>
      </c>
      <c r="B561">
        <v>0</v>
      </c>
      <c r="C561">
        <v>35</v>
      </c>
      <c r="D561">
        <v>4</v>
      </c>
      <c r="E561">
        <v>0</v>
      </c>
      <c r="F561">
        <v>4</v>
      </c>
      <c r="G561">
        <v>43</v>
      </c>
    </row>
    <row r="562" spans="1:7" x14ac:dyDescent="0.2">
      <c r="A562">
        <v>561</v>
      </c>
      <c r="B562">
        <v>0</v>
      </c>
      <c r="C562">
        <v>35</v>
      </c>
      <c r="D562">
        <v>4</v>
      </c>
      <c r="E562">
        <v>0</v>
      </c>
      <c r="F562">
        <v>12</v>
      </c>
      <c r="G562">
        <v>51</v>
      </c>
    </row>
    <row r="563" spans="1:7" x14ac:dyDescent="0.2">
      <c r="A563">
        <v>562</v>
      </c>
      <c r="B563">
        <v>0</v>
      </c>
      <c r="C563">
        <v>35</v>
      </c>
      <c r="D563">
        <v>4</v>
      </c>
      <c r="E563">
        <v>0</v>
      </c>
      <c r="F563">
        <v>12</v>
      </c>
      <c r="G563">
        <v>51</v>
      </c>
    </row>
    <row r="564" spans="1:7" x14ac:dyDescent="0.2">
      <c r="A564">
        <v>563</v>
      </c>
      <c r="B564">
        <v>0</v>
      </c>
      <c r="C564">
        <v>35</v>
      </c>
      <c r="D564">
        <v>4</v>
      </c>
      <c r="E564">
        <v>0</v>
      </c>
      <c r="F564">
        <v>12</v>
      </c>
      <c r="G564">
        <v>51</v>
      </c>
    </row>
    <row r="565" spans="1:7" x14ac:dyDescent="0.2">
      <c r="A565">
        <v>564</v>
      </c>
      <c r="B565">
        <v>0</v>
      </c>
      <c r="C565">
        <v>35</v>
      </c>
      <c r="D565">
        <v>4</v>
      </c>
      <c r="E565">
        <v>0</v>
      </c>
      <c r="F565">
        <v>12</v>
      </c>
      <c r="G565">
        <v>51</v>
      </c>
    </row>
    <row r="566" spans="1:7" x14ac:dyDescent="0.2">
      <c r="A566">
        <v>565</v>
      </c>
      <c r="B566">
        <v>0</v>
      </c>
      <c r="C566">
        <v>35</v>
      </c>
      <c r="D566">
        <v>4</v>
      </c>
      <c r="E566">
        <v>0</v>
      </c>
      <c r="F566">
        <v>12</v>
      </c>
      <c r="G566">
        <v>51</v>
      </c>
    </row>
    <row r="567" spans="1:7" x14ac:dyDescent="0.2">
      <c r="A567">
        <v>566</v>
      </c>
      <c r="B567">
        <v>0</v>
      </c>
      <c r="C567">
        <v>35</v>
      </c>
      <c r="D567">
        <v>4</v>
      </c>
      <c r="E567">
        <v>0</v>
      </c>
      <c r="F567">
        <v>12</v>
      </c>
      <c r="G567">
        <v>51</v>
      </c>
    </row>
    <row r="568" spans="1:7" x14ac:dyDescent="0.2">
      <c r="A568">
        <v>567</v>
      </c>
      <c r="B568">
        <v>0</v>
      </c>
      <c r="C568">
        <v>35</v>
      </c>
      <c r="D568">
        <v>4</v>
      </c>
      <c r="E568">
        <v>0</v>
      </c>
      <c r="F568">
        <v>12</v>
      </c>
      <c r="G568">
        <v>51</v>
      </c>
    </row>
    <row r="569" spans="1:7" x14ac:dyDescent="0.2">
      <c r="A569">
        <v>568</v>
      </c>
      <c r="B569">
        <v>0</v>
      </c>
      <c r="C569">
        <v>35</v>
      </c>
      <c r="D569">
        <v>4</v>
      </c>
      <c r="E569">
        <v>0</v>
      </c>
      <c r="F569">
        <v>12</v>
      </c>
      <c r="G569">
        <v>51</v>
      </c>
    </row>
    <row r="570" spans="1:7" x14ac:dyDescent="0.2">
      <c r="A570">
        <v>569</v>
      </c>
      <c r="B570">
        <v>0</v>
      </c>
      <c r="C570">
        <v>35</v>
      </c>
      <c r="D570">
        <v>4</v>
      </c>
      <c r="E570">
        <v>0</v>
      </c>
      <c r="F570">
        <v>12</v>
      </c>
      <c r="G570">
        <v>51</v>
      </c>
    </row>
    <row r="571" spans="1:7" x14ac:dyDescent="0.2">
      <c r="A571">
        <v>570</v>
      </c>
      <c r="B571">
        <v>0</v>
      </c>
      <c r="C571">
        <v>35</v>
      </c>
      <c r="D571">
        <v>4</v>
      </c>
      <c r="E571">
        <v>0</v>
      </c>
      <c r="F571">
        <v>12</v>
      </c>
      <c r="G571">
        <v>51</v>
      </c>
    </row>
    <row r="572" spans="1:7" x14ac:dyDescent="0.2">
      <c r="A572">
        <v>571</v>
      </c>
      <c r="B572">
        <v>0</v>
      </c>
      <c r="C572">
        <v>35</v>
      </c>
      <c r="D572">
        <v>4</v>
      </c>
      <c r="E572">
        <v>0</v>
      </c>
      <c r="F572">
        <v>12</v>
      </c>
      <c r="G572">
        <v>51</v>
      </c>
    </row>
    <row r="573" spans="1:7" x14ac:dyDescent="0.2">
      <c r="A573">
        <v>572</v>
      </c>
      <c r="B573">
        <v>0</v>
      </c>
      <c r="C573">
        <v>35</v>
      </c>
      <c r="D573">
        <v>4</v>
      </c>
      <c r="E573">
        <v>0</v>
      </c>
      <c r="F573">
        <v>12</v>
      </c>
      <c r="G573">
        <v>51</v>
      </c>
    </row>
    <row r="574" spans="1:7" x14ac:dyDescent="0.2">
      <c r="A574">
        <v>573</v>
      </c>
      <c r="B574">
        <v>0</v>
      </c>
      <c r="C574">
        <v>35</v>
      </c>
      <c r="D574">
        <v>4</v>
      </c>
      <c r="E574">
        <v>0</v>
      </c>
      <c r="F574">
        <v>12</v>
      </c>
      <c r="G574">
        <v>51</v>
      </c>
    </row>
    <row r="575" spans="1:7" x14ac:dyDescent="0.2">
      <c r="A575">
        <v>574</v>
      </c>
      <c r="B575">
        <v>0</v>
      </c>
      <c r="C575">
        <v>29</v>
      </c>
      <c r="D575">
        <v>4</v>
      </c>
      <c r="E575">
        <v>0</v>
      </c>
      <c r="F575">
        <v>13</v>
      </c>
      <c r="G575">
        <v>46</v>
      </c>
    </row>
    <row r="576" spans="1:7" x14ac:dyDescent="0.2">
      <c r="A576">
        <v>575</v>
      </c>
      <c r="B576">
        <v>0</v>
      </c>
      <c r="C576">
        <v>29</v>
      </c>
      <c r="D576">
        <v>4</v>
      </c>
      <c r="E576">
        <v>0</v>
      </c>
      <c r="F576">
        <v>15</v>
      </c>
      <c r="G576">
        <v>48</v>
      </c>
    </row>
    <row r="577" spans="1:7" x14ac:dyDescent="0.2">
      <c r="A577">
        <v>576</v>
      </c>
      <c r="B577">
        <v>0</v>
      </c>
      <c r="C577">
        <v>29</v>
      </c>
      <c r="D577">
        <v>4</v>
      </c>
      <c r="E577">
        <v>0</v>
      </c>
      <c r="F577">
        <v>15</v>
      </c>
      <c r="G577">
        <v>48</v>
      </c>
    </row>
    <row r="578" spans="1:7" x14ac:dyDescent="0.2">
      <c r="A578">
        <v>577</v>
      </c>
      <c r="B578">
        <v>0</v>
      </c>
      <c r="C578">
        <v>29</v>
      </c>
      <c r="D578">
        <v>4</v>
      </c>
      <c r="E578">
        <v>0</v>
      </c>
      <c r="F578">
        <v>15</v>
      </c>
      <c r="G578">
        <v>48</v>
      </c>
    </row>
    <row r="579" spans="1:7" x14ac:dyDescent="0.2">
      <c r="A579">
        <v>578</v>
      </c>
      <c r="B579">
        <v>0</v>
      </c>
      <c r="C579">
        <v>29</v>
      </c>
      <c r="D579">
        <v>4</v>
      </c>
      <c r="E579">
        <v>0</v>
      </c>
      <c r="F579">
        <v>15</v>
      </c>
      <c r="G579">
        <v>48</v>
      </c>
    </row>
    <row r="580" spans="1:7" x14ac:dyDescent="0.2">
      <c r="A580">
        <v>579</v>
      </c>
      <c r="B580">
        <v>0</v>
      </c>
      <c r="C580">
        <v>29</v>
      </c>
      <c r="D580">
        <v>4</v>
      </c>
      <c r="E580">
        <v>0</v>
      </c>
      <c r="F580">
        <v>15</v>
      </c>
      <c r="G580">
        <v>48</v>
      </c>
    </row>
    <row r="581" spans="1:7" x14ac:dyDescent="0.2">
      <c r="A581">
        <v>580</v>
      </c>
      <c r="B581">
        <v>0</v>
      </c>
      <c r="C581">
        <v>29</v>
      </c>
      <c r="D581">
        <v>4</v>
      </c>
      <c r="E581">
        <v>0</v>
      </c>
      <c r="F581">
        <v>15</v>
      </c>
      <c r="G581">
        <v>48</v>
      </c>
    </row>
    <row r="582" spans="1:7" x14ac:dyDescent="0.2">
      <c r="A582">
        <v>581</v>
      </c>
      <c r="B582">
        <v>0</v>
      </c>
      <c r="C582">
        <v>29</v>
      </c>
      <c r="D582">
        <v>4</v>
      </c>
      <c r="E582">
        <v>0</v>
      </c>
      <c r="F582">
        <v>15</v>
      </c>
      <c r="G582">
        <v>48</v>
      </c>
    </row>
    <row r="583" spans="1:7" x14ac:dyDescent="0.2">
      <c r="A583">
        <v>582</v>
      </c>
      <c r="B583">
        <v>0</v>
      </c>
      <c r="C583">
        <v>29</v>
      </c>
      <c r="D583">
        <v>4</v>
      </c>
      <c r="E583">
        <v>0</v>
      </c>
      <c r="F583">
        <v>15</v>
      </c>
      <c r="G583">
        <v>48</v>
      </c>
    </row>
    <row r="584" spans="1:7" x14ac:dyDescent="0.2">
      <c r="A584">
        <v>583</v>
      </c>
      <c r="B584">
        <v>0</v>
      </c>
      <c r="C584">
        <v>29</v>
      </c>
      <c r="D584">
        <v>4</v>
      </c>
      <c r="E584">
        <v>0</v>
      </c>
      <c r="F584">
        <v>15</v>
      </c>
      <c r="G584">
        <v>48</v>
      </c>
    </row>
    <row r="585" spans="1:7" x14ac:dyDescent="0.2">
      <c r="A585">
        <v>584</v>
      </c>
      <c r="B585">
        <v>0</v>
      </c>
      <c r="C585">
        <v>29</v>
      </c>
      <c r="D585">
        <v>4</v>
      </c>
      <c r="E585">
        <v>0</v>
      </c>
      <c r="F585">
        <v>15</v>
      </c>
      <c r="G585">
        <v>48</v>
      </c>
    </row>
    <row r="586" spans="1:7" x14ac:dyDescent="0.2">
      <c r="A586">
        <v>585</v>
      </c>
      <c r="B586">
        <v>0</v>
      </c>
      <c r="C586">
        <v>29</v>
      </c>
      <c r="D586">
        <v>4</v>
      </c>
      <c r="E586">
        <v>0</v>
      </c>
      <c r="F586">
        <v>15</v>
      </c>
      <c r="G586">
        <v>48</v>
      </c>
    </row>
    <row r="587" spans="1:7" x14ac:dyDescent="0.2">
      <c r="A587">
        <v>586</v>
      </c>
      <c r="B587">
        <v>0</v>
      </c>
      <c r="C587">
        <v>29</v>
      </c>
      <c r="D587">
        <v>4</v>
      </c>
      <c r="E587">
        <v>0</v>
      </c>
      <c r="F587">
        <v>15</v>
      </c>
      <c r="G587">
        <v>48</v>
      </c>
    </row>
    <row r="588" spans="1:7" x14ac:dyDescent="0.2">
      <c r="A588">
        <v>587</v>
      </c>
      <c r="B588">
        <v>0</v>
      </c>
      <c r="C588">
        <v>29</v>
      </c>
      <c r="D588">
        <v>4</v>
      </c>
      <c r="E588">
        <v>0</v>
      </c>
      <c r="F588">
        <v>15</v>
      </c>
      <c r="G588">
        <v>48</v>
      </c>
    </row>
    <row r="589" spans="1:7" x14ac:dyDescent="0.2">
      <c r="A589">
        <v>588</v>
      </c>
      <c r="B589">
        <v>0</v>
      </c>
      <c r="C589">
        <v>29</v>
      </c>
      <c r="D589">
        <v>4</v>
      </c>
      <c r="E589">
        <v>0</v>
      </c>
      <c r="F589">
        <v>15</v>
      </c>
      <c r="G589">
        <v>48</v>
      </c>
    </row>
    <row r="590" spans="1:7" x14ac:dyDescent="0.2">
      <c r="A590">
        <v>589</v>
      </c>
      <c r="B590">
        <v>0</v>
      </c>
      <c r="C590">
        <v>29</v>
      </c>
      <c r="D590">
        <v>4</v>
      </c>
      <c r="E590">
        <v>0</v>
      </c>
      <c r="F590">
        <v>15</v>
      </c>
      <c r="G590">
        <v>48</v>
      </c>
    </row>
    <row r="591" spans="1:7" x14ac:dyDescent="0.2">
      <c r="A591">
        <v>590</v>
      </c>
      <c r="B591">
        <v>0</v>
      </c>
      <c r="C591">
        <v>29</v>
      </c>
      <c r="D591">
        <v>4</v>
      </c>
      <c r="E591">
        <v>0</v>
      </c>
      <c r="F591">
        <v>15</v>
      </c>
      <c r="G591">
        <v>48</v>
      </c>
    </row>
    <row r="592" spans="1:7" x14ac:dyDescent="0.2">
      <c r="A592">
        <v>591</v>
      </c>
      <c r="B592">
        <v>0</v>
      </c>
      <c r="C592">
        <v>29</v>
      </c>
      <c r="D592">
        <v>4</v>
      </c>
      <c r="E592">
        <v>0</v>
      </c>
      <c r="F592">
        <v>15</v>
      </c>
      <c r="G592">
        <v>48</v>
      </c>
    </row>
    <row r="593" spans="1:7" x14ac:dyDescent="0.2">
      <c r="A593">
        <v>592</v>
      </c>
      <c r="B593">
        <v>0</v>
      </c>
      <c r="C593">
        <v>29</v>
      </c>
      <c r="D593">
        <v>4</v>
      </c>
      <c r="E593">
        <v>0</v>
      </c>
      <c r="F593">
        <v>15</v>
      </c>
      <c r="G593">
        <v>48</v>
      </c>
    </row>
    <row r="594" spans="1:7" x14ac:dyDescent="0.2">
      <c r="A594">
        <v>593</v>
      </c>
      <c r="B594">
        <v>0</v>
      </c>
      <c r="C594">
        <v>29</v>
      </c>
      <c r="D594">
        <v>4</v>
      </c>
      <c r="E594">
        <v>0</v>
      </c>
      <c r="F594">
        <v>15</v>
      </c>
      <c r="G594">
        <v>48</v>
      </c>
    </row>
    <row r="595" spans="1:7" x14ac:dyDescent="0.2">
      <c r="A595">
        <v>594</v>
      </c>
      <c r="B595">
        <v>0</v>
      </c>
      <c r="C595">
        <v>29</v>
      </c>
      <c r="D595">
        <v>4</v>
      </c>
      <c r="E595">
        <v>0</v>
      </c>
      <c r="F595">
        <v>15</v>
      </c>
      <c r="G595">
        <v>48</v>
      </c>
    </row>
    <row r="596" spans="1:7" x14ac:dyDescent="0.2">
      <c r="A596">
        <v>595</v>
      </c>
      <c r="B596">
        <v>0</v>
      </c>
      <c r="C596">
        <v>29</v>
      </c>
      <c r="D596">
        <v>4</v>
      </c>
      <c r="E596">
        <v>0</v>
      </c>
      <c r="F596">
        <v>15</v>
      </c>
      <c r="G596">
        <v>48</v>
      </c>
    </row>
    <row r="597" spans="1:7" x14ac:dyDescent="0.2">
      <c r="A597">
        <v>596</v>
      </c>
      <c r="B597">
        <v>0</v>
      </c>
      <c r="C597">
        <v>29</v>
      </c>
      <c r="D597">
        <v>4</v>
      </c>
      <c r="E597">
        <v>0</v>
      </c>
      <c r="F597">
        <v>15</v>
      </c>
      <c r="G597">
        <v>48</v>
      </c>
    </row>
    <row r="598" spans="1:7" x14ac:dyDescent="0.2">
      <c r="A598">
        <v>597</v>
      </c>
      <c r="B598">
        <v>0</v>
      </c>
      <c r="C598">
        <v>29</v>
      </c>
      <c r="D598">
        <v>4</v>
      </c>
      <c r="E598">
        <v>0</v>
      </c>
      <c r="F598">
        <v>15</v>
      </c>
      <c r="G598">
        <v>48</v>
      </c>
    </row>
    <row r="599" spans="1:7" x14ac:dyDescent="0.2">
      <c r="A599">
        <v>598</v>
      </c>
      <c r="B599">
        <v>0</v>
      </c>
      <c r="C599">
        <v>29</v>
      </c>
      <c r="D599">
        <v>4</v>
      </c>
      <c r="E599">
        <v>0</v>
      </c>
      <c r="F599">
        <v>15</v>
      </c>
      <c r="G599">
        <v>48</v>
      </c>
    </row>
    <row r="600" spans="1:7" x14ac:dyDescent="0.2">
      <c r="A600">
        <v>599</v>
      </c>
      <c r="B600">
        <v>0</v>
      </c>
      <c r="C600">
        <v>29</v>
      </c>
      <c r="D600">
        <v>4</v>
      </c>
      <c r="E600">
        <v>0</v>
      </c>
      <c r="F600">
        <v>15</v>
      </c>
      <c r="G600">
        <v>48</v>
      </c>
    </row>
    <row r="601" spans="1:7" x14ac:dyDescent="0.2">
      <c r="A601">
        <v>600</v>
      </c>
      <c r="B601">
        <v>0</v>
      </c>
      <c r="C601">
        <v>29</v>
      </c>
      <c r="D601">
        <v>4</v>
      </c>
      <c r="E601">
        <v>0</v>
      </c>
      <c r="F601">
        <v>15</v>
      </c>
      <c r="G601">
        <v>48</v>
      </c>
    </row>
    <row r="602" spans="1:7" x14ac:dyDescent="0.2">
      <c r="A602">
        <v>601</v>
      </c>
      <c r="B602">
        <v>0</v>
      </c>
      <c r="C602">
        <v>29</v>
      </c>
      <c r="D602">
        <v>4</v>
      </c>
      <c r="E602">
        <v>0</v>
      </c>
      <c r="F602">
        <v>15</v>
      </c>
      <c r="G602">
        <v>48</v>
      </c>
    </row>
    <row r="603" spans="1:7" x14ac:dyDescent="0.2">
      <c r="A603">
        <v>602</v>
      </c>
      <c r="B603">
        <v>0</v>
      </c>
      <c r="C603">
        <v>29</v>
      </c>
      <c r="D603">
        <v>4</v>
      </c>
      <c r="E603">
        <v>0</v>
      </c>
      <c r="F603">
        <v>15</v>
      </c>
      <c r="G603">
        <v>48</v>
      </c>
    </row>
    <row r="604" spans="1:7" x14ac:dyDescent="0.2">
      <c r="A604">
        <v>603</v>
      </c>
      <c r="B604">
        <v>0</v>
      </c>
      <c r="C604">
        <v>29</v>
      </c>
      <c r="D604">
        <v>4</v>
      </c>
      <c r="E604">
        <v>0</v>
      </c>
      <c r="F604">
        <v>15</v>
      </c>
      <c r="G604">
        <v>48</v>
      </c>
    </row>
    <row r="605" spans="1:7" x14ac:dyDescent="0.2">
      <c r="A605">
        <v>604</v>
      </c>
      <c r="B605">
        <v>0</v>
      </c>
      <c r="C605">
        <v>29</v>
      </c>
      <c r="D605">
        <v>4</v>
      </c>
      <c r="E605">
        <v>0</v>
      </c>
      <c r="F605">
        <v>15</v>
      </c>
      <c r="G605">
        <v>48</v>
      </c>
    </row>
    <row r="606" spans="1:7" x14ac:dyDescent="0.2">
      <c r="A606">
        <v>605</v>
      </c>
      <c r="B606">
        <v>0</v>
      </c>
      <c r="C606">
        <v>29</v>
      </c>
      <c r="D606">
        <v>4</v>
      </c>
      <c r="E606">
        <v>0</v>
      </c>
      <c r="F606">
        <v>15</v>
      </c>
      <c r="G606">
        <v>48</v>
      </c>
    </row>
    <row r="607" spans="1:7" x14ac:dyDescent="0.2">
      <c r="A607">
        <v>606</v>
      </c>
      <c r="B607">
        <v>0</v>
      </c>
      <c r="C607">
        <v>29</v>
      </c>
      <c r="D607">
        <v>4</v>
      </c>
      <c r="E607">
        <v>0</v>
      </c>
      <c r="F607">
        <v>15</v>
      </c>
      <c r="G607">
        <v>48</v>
      </c>
    </row>
    <row r="608" spans="1:7" x14ac:dyDescent="0.2">
      <c r="A608">
        <v>607</v>
      </c>
      <c r="B608">
        <v>0</v>
      </c>
      <c r="C608">
        <v>29</v>
      </c>
      <c r="D608">
        <v>4</v>
      </c>
      <c r="E608">
        <v>0</v>
      </c>
      <c r="F608">
        <v>15</v>
      </c>
      <c r="G608">
        <v>48</v>
      </c>
    </row>
    <row r="609" spans="1:7" x14ac:dyDescent="0.2">
      <c r="A609">
        <v>608</v>
      </c>
      <c r="B609">
        <v>0</v>
      </c>
      <c r="C609">
        <v>29</v>
      </c>
      <c r="D609">
        <v>4</v>
      </c>
      <c r="E609">
        <v>0</v>
      </c>
      <c r="F609">
        <v>15</v>
      </c>
      <c r="G609">
        <v>48</v>
      </c>
    </row>
    <row r="610" spans="1:7" x14ac:dyDescent="0.2">
      <c r="A610">
        <v>609</v>
      </c>
      <c r="B610">
        <v>0</v>
      </c>
      <c r="C610">
        <v>29</v>
      </c>
      <c r="D610">
        <v>4</v>
      </c>
      <c r="E610">
        <v>0</v>
      </c>
      <c r="F610">
        <v>15</v>
      </c>
      <c r="G610">
        <v>48</v>
      </c>
    </row>
    <row r="611" spans="1:7" x14ac:dyDescent="0.2">
      <c r="A611">
        <v>610</v>
      </c>
      <c r="B611">
        <v>0</v>
      </c>
      <c r="C611">
        <v>29</v>
      </c>
      <c r="D611">
        <v>4</v>
      </c>
      <c r="E611">
        <v>0</v>
      </c>
      <c r="F611">
        <v>15</v>
      </c>
      <c r="G611">
        <v>48</v>
      </c>
    </row>
    <row r="612" spans="1:7" x14ac:dyDescent="0.2">
      <c r="A612">
        <v>611</v>
      </c>
      <c r="B612">
        <v>0</v>
      </c>
      <c r="C612">
        <v>29</v>
      </c>
      <c r="D612">
        <v>4</v>
      </c>
      <c r="E612">
        <v>0</v>
      </c>
      <c r="F612">
        <v>15</v>
      </c>
      <c r="G612">
        <v>48</v>
      </c>
    </row>
    <row r="613" spans="1:7" x14ac:dyDescent="0.2">
      <c r="A613">
        <v>612</v>
      </c>
      <c r="B613">
        <v>0</v>
      </c>
      <c r="C613">
        <v>29</v>
      </c>
      <c r="D613">
        <v>4</v>
      </c>
      <c r="E613">
        <v>0</v>
      </c>
      <c r="F613">
        <v>15</v>
      </c>
      <c r="G613">
        <v>48</v>
      </c>
    </row>
    <row r="614" spans="1:7" x14ac:dyDescent="0.2">
      <c r="A614">
        <v>613</v>
      </c>
      <c r="B614">
        <v>0</v>
      </c>
      <c r="C614">
        <v>29</v>
      </c>
      <c r="D614">
        <v>4</v>
      </c>
      <c r="E614">
        <v>0</v>
      </c>
      <c r="F614">
        <v>15</v>
      </c>
      <c r="G614">
        <v>48</v>
      </c>
    </row>
    <row r="615" spans="1:7" x14ac:dyDescent="0.2">
      <c r="A615">
        <v>614</v>
      </c>
      <c r="B615">
        <v>0</v>
      </c>
      <c r="C615">
        <v>29</v>
      </c>
      <c r="D615">
        <v>4</v>
      </c>
      <c r="E615">
        <v>0</v>
      </c>
      <c r="F615">
        <v>15</v>
      </c>
      <c r="G615">
        <v>48</v>
      </c>
    </row>
    <row r="616" spans="1:7" x14ac:dyDescent="0.2">
      <c r="A616">
        <v>615</v>
      </c>
      <c r="B616">
        <v>0</v>
      </c>
      <c r="C616">
        <v>29</v>
      </c>
      <c r="D616">
        <v>4</v>
      </c>
      <c r="E616">
        <v>0</v>
      </c>
      <c r="F616">
        <v>15</v>
      </c>
      <c r="G616">
        <v>48</v>
      </c>
    </row>
    <row r="617" spans="1:7" x14ac:dyDescent="0.2">
      <c r="A617">
        <v>616</v>
      </c>
      <c r="B617">
        <v>0</v>
      </c>
      <c r="C617">
        <v>29</v>
      </c>
      <c r="D617">
        <v>4</v>
      </c>
      <c r="E617">
        <v>0</v>
      </c>
      <c r="F617">
        <v>15</v>
      </c>
      <c r="G617">
        <v>48</v>
      </c>
    </row>
    <row r="618" spans="1:7" x14ac:dyDescent="0.2">
      <c r="A618">
        <v>617</v>
      </c>
      <c r="B618">
        <v>0</v>
      </c>
      <c r="C618">
        <v>29</v>
      </c>
      <c r="D618">
        <v>4</v>
      </c>
      <c r="E618">
        <v>0</v>
      </c>
      <c r="F618">
        <v>15</v>
      </c>
      <c r="G618">
        <v>48</v>
      </c>
    </row>
    <row r="619" spans="1:7" x14ac:dyDescent="0.2">
      <c r="A619">
        <v>618</v>
      </c>
      <c r="B619">
        <v>0</v>
      </c>
      <c r="C619">
        <v>29</v>
      </c>
      <c r="D619">
        <v>4</v>
      </c>
      <c r="E619">
        <v>0</v>
      </c>
      <c r="F619">
        <v>15</v>
      </c>
      <c r="G619">
        <v>48</v>
      </c>
    </row>
    <row r="620" spans="1:7" x14ac:dyDescent="0.2">
      <c r="A620">
        <v>619</v>
      </c>
      <c r="B620">
        <v>0</v>
      </c>
      <c r="C620">
        <v>32</v>
      </c>
      <c r="D620">
        <v>4</v>
      </c>
      <c r="E620">
        <v>0</v>
      </c>
      <c r="F620">
        <v>15</v>
      </c>
      <c r="G620">
        <v>51</v>
      </c>
    </row>
    <row r="621" spans="1:7" x14ac:dyDescent="0.2">
      <c r="A621">
        <v>620</v>
      </c>
      <c r="B621">
        <v>0</v>
      </c>
      <c r="C621">
        <v>36</v>
      </c>
      <c r="D621">
        <v>4</v>
      </c>
      <c r="E621">
        <v>0</v>
      </c>
      <c r="F621">
        <v>15</v>
      </c>
      <c r="G621">
        <v>55</v>
      </c>
    </row>
    <row r="622" spans="1:7" x14ac:dyDescent="0.2">
      <c r="A622">
        <v>621</v>
      </c>
      <c r="B622">
        <v>0</v>
      </c>
      <c r="C622">
        <v>43</v>
      </c>
      <c r="D622">
        <v>4</v>
      </c>
      <c r="E622">
        <v>0</v>
      </c>
      <c r="F622">
        <v>15</v>
      </c>
      <c r="G622">
        <v>62</v>
      </c>
    </row>
    <row r="623" spans="1:7" x14ac:dyDescent="0.2">
      <c r="A623">
        <v>622</v>
      </c>
      <c r="B623">
        <v>0</v>
      </c>
      <c r="C623">
        <v>43</v>
      </c>
      <c r="D623">
        <v>4</v>
      </c>
      <c r="E623">
        <v>0</v>
      </c>
      <c r="F623">
        <v>15</v>
      </c>
      <c r="G623">
        <v>62</v>
      </c>
    </row>
    <row r="624" spans="1:7" x14ac:dyDescent="0.2">
      <c r="A624">
        <v>623</v>
      </c>
      <c r="B624">
        <v>0</v>
      </c>
      <c r="C624">
        <v>43</v>
      </c>
      <c r="D624">
        <v>4</v>
      </c>
      <c r="E624">
        <v>0</v>
      </c>
      <c r="F624">
        <v>15</v>
      </c>
      <c r="G624">
        <v>62</v>
      </c>
    </row>
    <row r="625" spans="1:7" x14ac:dyDescent="0.2">
      <c r="A625">
        <v>624</v>
      </c>
      <c r="B625">
        <v>0</v>
      </c>
      <c r="C625">
        <v>43</v>
      </c>
      <c r="D625">
        <v>4</v>
      </c>
      <c r="E625">
        <v>0</v>
      </c>
      <c r="F625">
        <v>13</v>
      </c>
      <c r="G625">
        <v>60</v>
      </c>
    </row>
    <row r="626" spans="1:7" x14ac:dyDescent="0.2">
      <c r="A626">
        <v>625</v>
      </c>
      <c r="B626">
        <v>0</v>
      </c>
      <c r="C626">
        <v>43</v>
      </c>
      <c r="D626">
        <v>4</v>
      </c>
      <c r="E626">
        <v>0</v>
      </c>
      <c r="F626">
        <v>13</v>
      </c>
      <c r="G626">
        <v>60</v>
      </c>
    </row>
    <row r="627" spans="1:7" x14ac:dyDescent="0.2">
      <c r="A627">
        <v>626</v>
      </c>
      <c r="B627">
        <v>0</v>
      </c>
      <c r="C627">
        <v>43</v>
      </c>
      <c r="D627">
        <v>4</v>
      </c>
      <c r="E627">
        <v>0</v>
      </c>
      <c r="F627">
        <v>13</v>
      </c>
      <c r="G627">
        <v>60</v>
      </c>
    </row>
    <row r="628" spans="1:7" x14ac:dyDescent="0.2">
      <c r="A628">
        <v>627</v>
      </c>
      <c r="B628">
        <v>0</v>
      </c>
      <c r="C628">
        <v>48</v>
      </c>
      <c r="D628">
        <v>4</v>
      </c>
      <c r="E628">
        <v>0</v>
      </c>
      <c r="F628">
        <v>13</v>
      </c>
      <c r="G628">
        <v>65</v>
      </c>
    </row>
    <row r="629" spans="1:7" x14ac:dyDescent="0.2">
      <c r="A629">
        <v>628</v>
      </c>
      <c r="B629">
        <v>0</v>
      </c>
      <c r="C629">
        <v>48</v>
      </c>
      <c r="D629">
        <v>4</v>
      </c>
      <c r="E629">
        <v>0</v>
      </c>
      <c r="F629">
        <v>12</v>
      </c>
      <c r="G629">
        <v>64</v>
      </c>
    </row>
    <row r="630" spans="1:7" x14ac:dyDescent="0.2">
      <c r="A630">
        <v>629</v>
      </c>
      <c r="B630">
        <v>0</v>
      </c>
      <c r="C630">
        <v>48</v>
      </c>
      <c r="D630">
        <v>4</v>
      </c>
      <c r="E630">
        <v>0</v>
      </c>
      <c r="F630">
        <v>12</v>
      </c>
      <c r="G630">
        <v>64</v>
      </c>
    </row>
    <row r="631" spans="1:7" x14ac:dyDescent="0.2">
      <c r="A631">
        <v>630</v>
      </c>
      <c r="B631">
        <v>0</v>
      </c>
      <c r="C631">
        <v>48</v>
      </c>
      <c r="D631">
        <v>4</v>
      </c>
      <c r="E631">
        <v>0</v>
      </c>
      <c r="F631">
        <v>12</v>
      </c>
      <c r="G631">
        <v>64</v>
      </c>
    </row>
    <row r="632" spans="1:7" x14ac:dyDescent="0.2">
      <c r="A632">
        <v>631</v>
      </c>
      <c r="B632">
        <v>0</v>
      </c>
      <c r="C632">
        <v>48</v>
      </c>
      <c r="D632">
        <v>4</v>
      </c>
      <c r="E632">
        <v>0</v>
      </c>
      <c r="F632">
        <v>12</v>
      </c>
      <c r="G632">
        <v>64</v>
      </c>
    </row>
    <row r="633" spans="1:7" x14ac:dyDescent="0.2">
      <c r="A633">
        <v>632</v>
      </c>
      <c r="B633">
        <v>0</v>
      </c>
      <c r="C633">
        <v>48</v>
      </c>
      <c r="D633">
        <v>4</v>
      </c>
      <c r="E633">
        <v>0</v>
      </c>
      <c r="F633">
        <v>12</v>
      </c>
      <c r="G633">
        <v>64</v>
      </c>
    </row>
    <row r="634" spans="1:7" x14ac:dyDescent="0.2">
      <c r="A634">
        <v>633</v>
      </c>
      <c r="B634">
        <v>0</v>
      </c>
      <c r="C634">
        <v>48</v>
      </c>
      <c r="D634">
        <v>4</v>
      </c>
      <c r="E634">
        <v>0</v>
      </c>
      <c r="F634">
        <v>12</v>
      </c>
      <c r="G634">
        <v>64</v>
      </c>
    </row>
    <row r="635" spans="1:7" x14ac:dyDescent="0.2">
      <c r="A635">
        <v>634</v>
      </c>
      <c r="B635">
        <v>0</v>
      </c>
      <c r="C635">
        <v>48</v>
      </c>
      <c r="D635">
        <v>4</v>
      </c>
      <c r="E635">
        <v>0</v>
      </c>
      <c r="F635">
        <v>12</v>
      </c>
      <c r="G635">
        <v>64</v>
      </c>
    </row>
    <row r="636" spans="1:7" x14ac:dyDescent="0.2">
      <c r="A636">
        <v>635</v>
      </c>
      <c r="B636">
        <v>0</v>
      </c>
      <c r="C636">
        <v>48</v>
      </c>
      <c r="D636">
        <v>4</v>
      </c>
      <c r="E636">
        <v>0</v>
      </c>
      <c r="F636">
        <v>12</v>
      </c>
      <c r="G636">
        <v>64</v>
      </c>
    </row>
    <row r="637" spans="1:7" x14ac:dyDescent="0.2">
      <c r="A637">
        <v>636</v>
      </c>
      <c r="B637">
        <v>0</v>
      </c>
      <c r="C637">
        <v>48</v>
      </c>
      <c r="D637">
        <v>4</v>
      </c>
      <c r="E637">
        <v>0</v>
      </c>
      <c r="F637">
        <v>12</v>
      </c>
      <c r="G637">
        <v>64</v>
      </c>
    </row>
    <row r="638" spans="1:7" x14ac:dyDescent="0.2">
      <c r="A638">
        <v>637</v>
      </c>
      <c r="B638">
        <v>0</v>
      </c>
      <c r="C638">
        <v>48</v>
      </c>
      <c r="D638">
        <v>4</v>
      </c>
      <c r="E638">
        <v>0</v>
      </c>
      <c r="F638">
        <v>12</v>
      </c>
      <c r="G638">
        <v>64</v>
      </c>
    </row>
    <row r="639" spans="1:7" x14ac:dyDescent="0.2">
      <c r="A639">
        <v>638</v>
      </c>
      <c r="B639">
        <v>0</v>
      </c>
      <c r="C639">
        <v>48</v>
      </c>
      <c r="D639">
        <v>4</v>
      </c>
      <c r="E639">
        <v>0</v>
      </c>
      <c r="F639">
        <v>12</v>
      </c>
      <c r="G639">
        <v>64</v>
      </c>
    </row>
    <row r="640" spans="1:7" x14ac:dyDescent="0.2">
      <c r="A640">
        <v>639</v>
      </c>
      <c r="B640">
        <v>0</v>
      </c>
      <c r="C640">
        <v>48</v>
      </c>
      <c r="D640">
        <v>4</v>
      </c>
      <c r="E640">
        <v>0</v>
      </c>
      <c r="F640">
        <v>12</v>
      </c>
      <c r="G640">
        <v>64</v>
      </c>
    </row>
    <row r="641" spans="1:7" x14ac:dyDescent="0.2">
      <c r="A641">
        <v>640</v>
      </c>
      <c r="B641">
        <v>0</v>
      </c>
      <c r="C641">
        <v>48</v>
      </c>
      <c r="D641">
        <v>4</v>
      </c>
      <c r="E641">
        <v>0</v>
      </c>
      <c r="F641">
        <v>12</v>
      </c>
      <c r="G641">
        <v>64</v>
      </c>
    </row>
    <row r="642" spans="1:7" x14ac:dyDescent="0.2">
      <c r="A642">
        <v>641</v>
      </c>
      <c r="B642">
        <v>0</v>
      </c>
      <c r="C642">
        <v>48</v>
      </c>
      <c r="D642">
        <v>4</v>
      </c>
      <c r="E642">
        <v>0</v>
      </c>
      <c r="F642">
        <v>12</v>
      </c>
      <c r="G642">
        <v>64</v>
      </c>
    </row>
    <row r="643" spans="1:7" x14ac:dyDescent="0.2">
      <c r="A643">
        <v>642</v>
      </c>
      <c r="B643">
        <v>0</v>
      </c>
      <c r="C643">
        <v>48</v>
      </c>
      <c r="D643">
        <v>4</v>
      </c>
      <c r="E643">
        <v>0</v>
      </c>
      <c r="F643">
        <v>12</v>
      </c>
      <c r="G643">
        <v>64</v>
      </c>
    </row>
    <row r="644" spans="1:7" x14ac:dyDescent="0.2">
      <c r="A644">
        <v>643</v>
      </c>
      <c r="B644">
        <v>0</v>
      </c>
      <c r="C644">
        <v>48</v>
      </c>
      <c r="D644">
        <v>4</v>
      </c>
      <c r="E644">
        <v>0</v>
      </c>
      <c r="F644">
        <v>12</v>
      </c>
      <c r="G644">
        <v>64</v>
      </c>
    </row>
    <row r="645" spans="1:7" x14ac:dyDescent="0.2">
      <c r="A645">
        <v>644</v>
      </c>
      <c r="B645">
        <v>0</v>
      </c>
      <c r="C645">
        <v>48</v>
      </c>
      <c r="D645">
        <v>4</v>
      </c>
      <c r="E645">
        <v>0</v>
      </c>
      <c r="F645">
        <v>12</v>
      </c>
      <c r="G645">
        <v>64</v>
      </c>
    </row>
    <row r="646" spans="1:7" x14ac:dyDescent="0.2">
      <c r="A646">
        <v>645</v>
      </c>
      <c r="B646">
        <v>0</v>
      </c>
      <c r="C646">
        <v>48</v>
      </c>
      <c r="D646">
        <v>4</v>
      </c>
      <c r="E646">
        <v>0</v>
      </c>
      <c r="F646">
        <v>12</v>
      </c>
      <c r="G646">
        <v>64</v>
      </c>
    </row>
    <row r="647" spans="1:7" x14ac:dyDescent="0.2">
      <c r="A647">
        <v>646</v>
      </c>
      <c r="B647">
        <v>0</v>
      </c>
      <c r="C647">
        <v>48</v>
      </c>
      <c r="D647">
        <v>4</v>
      </c>
      <c r="E647">
        <v>1</v>
      </c>
      <c r="F647">
        <v>14</v>
      </c>
      <c r="G647">
        <v>67</v>
      </c>
    </row>
    <row r="648" spans="1:7" x14ac:dyDescent="0.2">
      <c r="A648">
        <v>647</v>
      </c>
      <c r="B648">
        <v>0</v>
      </c>
      <c r="C648">
        <v>48</v>
      </c>
      <c r="D648">
        <v>4</v>
      </c>
      <c r="E648">
        <v>1</v>
      </c>
      <c r="F648">
        <v>14</v>
      </c>
      <c r="G648">
        <v>67</v>
      </c>
    </row>
    <row r="649" spans="1:7" x14ac:dyDescent="0.2">
      <c r="A649">
        <v>648</v>
      </c>
      <c r="B649">
        <v>0</v>
      </c>
      <c r="C649">
        <v>48</v>
      </c>
      <c r="D649">
        <v>4</v>
      </c>
      <c r="E649">
        <v>1</v>
      </c>
      <c r="F649">
        <v>14</v>
      </c>
      <c r="G649">
        <v>67</v>
      </c>
    </row>
    <row r="650" spans="1:7" x14ac:dyDescent="0.2">
      <c r="A650">
        <v>649</v>
      </c>
      <c r="B650">
        <v>0</v>
      </c>
      <c r="C650">
        <v>31</v>
      </c>
      <c r="D650">
        <v>4</v>
      </c>
      <c r="E650">
        <v>1</v>
      </c>
      <c r="F650">
        <v>14</v>
      </c>
      <c r="G650">
        <v>50</v>
      </c>
    </row>
    <row r="651" spans="1:7" x14ac:dyDescent="0.2">
      <c r="A651">
        <v>650</v>
      </c>
      <c r="B651">
        <v>0</v>
      </c>
      <c r="C651">
        <v>29</v>
      </c>
      <c r="D651">
        <v>4</v>
      </c>
      <c r="E651">
        <v>1</v>
      </c>
      <c r="F651">
        <v>14</v>
      </c>
      <c r="G651">
        <v>48</v>
      </c>
    </row>
    <row r="652" spans="1:7" x14ac:dyDescent="0.2">
      <c r="A652">
        <v>651</v>
      </c>
      <c r="B652">
        <v>0</v>
      </c>
      <c r="C652">
        <v>22</v>
      </c>
      <c r="D652">
        <v>16</v>
      </c>
      <c r="E652">
        <v>1</v>
      </c>
      <c r="F652">
        <v>14</v>
      </c>
      <c r="G652">
        <v>53</v>
      </c>
    </row>
    <row r="653" spans="1:7" x14ac:dyDescent="0.2">
      <c r="A653">
        <v>652</v>
      </c>
      <c r="B653">
        <v>0</v>
      </c>
      <c r="C653">
        <v>22</v>
      </c>
      <c r="D653">
        <v>16</v>
      </c>
      <c r="E653">
        <v>1</v>
      </c>
      <c r="F653">
        <v>14</v>
      </c>
      <c r="G653">
        <v>53</v>
      </c>
    </row>
    <row r="654" spans="1:7" x14ac:dyDescent="0.2">
      <c r="A654">
        <v>653</v>
      </c>
      <c r="B654">
        <v>0</v>
      </c>
      <c r="C654">
        <v>22</v>
      </c>
      <c r="D654">
        <v>16</v>
      </c>
      <c r="E654">
        <v>1</v>
      </c>
      <c r="F654">
        <v>14</v>
      </c>
      <c r="G654">
        <v>53</v>
      </c>
    </row>
    <row r="655" spans="1:7" x14ac:dyDescent="0.2">
      <c r="A655">
        <v>654</v>
      </c>
      <c r="B655">
        <v>0</v>
      </c>
      <c r="C655">
        <v>22</v>
      </c>
      <c r="D655">
        <v>16</v>
      </c>
      <c r="E655">
        <v>1</v>
      </c>
      <c r="F655">
        <v>13</v>
      </c>
      <c r="G655">
        <v>52</v>
      </c>
    </row>
    <row r="656" spans="1:7" x14ac:dyDescent="0.2">
      <c r="A656">
        <v>655</v>
      </c>
      <c r="B656">
        <v>0</v>
      </c>
      <c r="C656">
        <v>22</v>
      </c>
      <c r="D656">
        <v>16</v>
      </c>
      <c r="E656">
        <v>1</v>
      </c>
      <c r="F656">
        <v>12</v>
      </c>
      <c r="G656">
        <v>51</v>
      </c>
    </row>
    <row r="657" spans="1:7" x14ac:dyDescent="0.2">
      <c r="A657">
        <v>656</v>
      </c>
      <c r="B657">
        <v>0</v>
      </c>
      <c r="C657">
        <v>24</v>
      </c>
      <c r="D657">
        <v>16</v>
      </c>
      <c r="E657">
        <v>1</v>
      </c>
      <c r="F657">
        <v>12</v>
      </c>
      <c r="G657">
        <v>53</v>
      </c>
    </row>
    <row r="658" spans="1:7" x14ac:dyDescent="0.2">
      <c r="A658">
        <v>657</v>
      </c>
      <c r="B658">
        <v>0</v>
      </c>
      <c r="C658">
        <v>24</v>
      </c>
      <c r="D658">
        <v>16</v>
      </c>
      <c r="E658">
        <v>1</v>
      </c>
      <c r="F658">
        <v>12</v>
      </c>
      <c r="G658">
        <v>53</v>
      </c>
    </row>
    <row r="659" spans="1:7" x14ac:dyDescent="0.2">
      <c r="A659">
        <v>658</v>
      </c>
      <c r="B659">
        <v>0</v>
      </c>
      <c r="C659">
        <v>24</v>
      </c>
      <c r="D659">
        <v>16</v>
      </c>
      <c r="E659">
        <v>1</v>
      </c>
      <c r="F659">
        <v>12</v>
      </c>
      <c r="G659">
        <v>53</v>
      </c>
    </row>
    <row r="660" spans="1:7" x14ac:dyDescent="0.2">
      <c r="A660">
        <v>659</v>
      </c>
      <c r="B660">
        <v>0</v>
      </c>
      <c r="C660">
        <v>26</v>
      </c>
      <c r="D660">
        <v>24</v>
      </c>
      <c r="E660">
        <v>1</v>
      </c>
      <c r="F660">
        <v>12</v>
      </c>
      <c r="G660">
        <v>63</v>
      </c>
    </row>
    <row r="661" spans="1:7" x14ac:dyDescent="0.2">
      <c r="A661">
        <v>660</v>
      </c>
      <c r="B661">
        <v>0</v>
      </c>
      <c r="C661">
        <v>26</v>
      </c>
      <c r="D661">
        <v>24</v>
      </c>
      <c r="E661">
        <v>1</v>
      </c>
      <c r="F661">
        <v>12</v>
      </c>
      <c r="G661">
        <v>63</v>
      </c>
    </row>
    <row r="662" spans="1:7" x14ac:dyDescent="0.2">
      <c r="A662">
        <v>661</v>
      </c>
      <c r="B662" s="39">
        <v>8</v>
      </c>
      <c r="C662">
        <v>26</v>
      </c>
      <c r="D662">
        <v>24</v>
      </c>
      <c r="E662">
        <v>1</v>
      </c>
      <c r="F662">
        <v>15</v>
      </c>
      <c r="G662">
        <v>74</v>
      </c>
    </row>
    <row r="663" spans="1:7" x14ac:dyDescent="0.2">
      <c r="A663">
        <v>662</v>
      </c>
      <c r="B663" s="39">
        <v>8</v>
      </c>
      <c r="C663">
        <v>26</v>
      </c>
      <c r="D663">
        <v>24</v>
      </c>
      <c r="E663">
        <v>1</v>
      </c>
      <c r="F663">
        <v>15</v>
      </c>
      <c r="G663">
        <v>74</v>
      </c>
    </row>
    <row r="664" spans="1:7" x14ac:dyDescent="0.2">
      <c r="A664">
        <v>663</v>
      </c>
      <c r="B664" s="39">
        <v>8</v>
      </c>
      <c r="C664">
        <v>26</v>
      </c>
      <c r="D664">
        <v>24</v>
      </c>
      <c r="E664">
        <v>1</v>
      </c>
      <c r="F664">
        <v>15</v>
      </c>
      <c r="G664">
        <v>74</v>
      </c>
    </row>
    <row r="665" spans="1:7" x14ac:dyDescent="0.2">
      <c r="A665">
        <v>664</v>
      </c>
      <c r="B665" s="39">
        <v>8</v>
      </c>
      <c r="C665">
        <v>26</v>
      </c>
      <c r="D665">
        <v>24</v>
      </c>
      <c r="E665">
        <v>1</v>
      </c>
      <c r="F665">
        <v>15</v>
      </c>
      <c r="G665">
        <v>74</v>
      </c>
    </row>
    <row r="666" spans="1:7" x14ac:dyDescent="0.2">
      <c r="A666">
        <v>665</v>
      </c>
      <c r="B666" s="39">
        <v>8</v>
      </c>
      <c r="C666">
        <v>26</v>
      </c>
      <c r="D666">
        <v>24</v>
      </c>
      <c r="E666">
        <v>1</v>
      </c>
      <c r="F666">
        <v>15</v>
      </c>
      <c r="G666">
        <v>74</v>
      </c>
    </row>
    <row r="667" spans="1:7" x14ac:dyDescent="0.2">
      <c r="A667">
        <v>666</v>
      </c>
      <c r="B667" s="39">
        <v>8</v>
      </c>
      <c r="C667">
        <v>26</v>
      </c>
      <c r="D667">
        <v>24</v>
      </c>
      <c r="E667">
        <v>1</v>
      </c>
      <c r="F667">
        <v>15</v>
      </c>
      <c r="G667">
        <v>74</v>
      </c>
    </row>
    <row r="668" spans="1:7" x14ac:dyDescent="0.2">
      <c r="A668">
        <v>667</v>
      </c>
      <c r="B668" s="39">
        <v>8</v>
      </c>
      <c r="C668">
        <v>26</v>
      </c>
      <c r="D668">
        <v>24</v>
      </c>
      <c r="E668">
        <v>1</v>
      </c>
      <c r="F668">
        <v>15</v>
      </c>
      <c r="G668">
        <v>74</v>
      </c>
    </row>
    <row r="669" spans="1:7" x14ac:dyDescent="0.2">
      <c r="A669">
        <v>668</v>
      </c>
      <c r="B669" s="39">
        <v>8</v>
      </c>
      <c r="C669">
        <v>26</v>
      </c>
      <c r="D669">
        <v>24</v>
      </c>
      <c r="E669">
        <v>1</v>
      </c>
      <c r="F669">
        <v>15</v>
      </c>
      <c r="G669">
        <v>74</v>
      </c>
    </row>
    <row r="670" spans="1:7" x14ac:dyDescent="0.2">
      <c r="A670">
        <v>669</v>
      </c>
      <c r="B670" s="39">
        <v>8</v>
      </c>
      <c r="C670">
        <v>26</v>
      </c>
      <c r="D670">
        <v>24</v>
      </c>
      <c r="E670">
        <v>1</v>
      </c>
      <c r="F670">
        <v>15</v>
      </c>
      <c r="G670">
        <v>74</v>
      </c>
    </row>
    <row r="671" spans="1:7" x14ac:dyDescent="0.2">
      <c r="A671">
        <v>670</v>
      </c>
      <c r="B671" s="39">
        <v>8</v>
      </c>
      <c r="C671">
        <v>26</v>
      </c>
      <c r="D671">
        <v>24</v>
      </c>
      <c r="E671">
        <v>1</v>
      </c>
      <c r="F671">
        <v>15</v>
      </c>
      <c r="G671">
        <v>74</v>
      </c>
    </row>
    <row r="672" spans="1:7" x14ac:dyDescent="0.2">
      <c r="A672">
        <v>671</v>
      </c>
      <c r="B672" s="39">
        <v>8</v>
      </c>
      <c r="C672">
        <v>26</v>
      </c>
      <c r="D672">
        <v>24</v>
      </c>
      <c r="E672">
        <v>1</v>
      </c>
      <c r="F672">
        <v>15</v>
      </c>
      <c r="G672">
        <v>74</v>
      </c>
    </row>
    <row r="673" spans="1:7" x14ac:dyDescent="0.2">
      <c r="A673">
        <v>672</v>
      </c>
      <c r="B673" s="39">
        <v>8</v>
      </c>
      <c r="C673">
        <v>26</v>
      </c>
      <c r="D673">
        <v>24</v>
      </c>
      <c r="E673">
        <v>1</v>
      </c>
      <c r="F673">
        <v>15</v>
      </c>
      <c r="G673">
        <v>74</v>
      </c>
    </row>
    <row r="674" spans="1:7" x14ac:dyDescent="0.2">
      <c r="A674">
        <v>673</v>
      </c>
      <c r="B674" s="39">
        <v>8</v>
      </c>
      <c r="C674">
        <v>26</v>
      </c>
      <c r="D674">
        <v>24</v>
      </c>
      <c r="E674">
        <v>1</v>
      </c>
      <c r="F674">
        <v>15</v>
      </c>
      <c r="G674">
        <v>74</v>
      </c>
    </row>
    <row r="675" spans="1:7" x14ac:dyDescent="0.2">
      <c r="A675">
        <v>674</v>
      </c>
      <c r="B675" s="39">
        <v>8</v>
      </c>
      <c r="C675">
        <v>26</v>
      </c>
      <c r="D675">
        <v>24</v>
      </c>
      <c r="E675">
        <v>1</v>
      </c>
      <c r="F675">
        <v>15</v>
      </c>
      <c r="G675">
        <v>74</v>
      </c>
    </row>
    <row r="676" spans="1:7" x14ac:dyDescent="0.2">
      <c r="A676">
        <v>675</v>
      </c>
      <c r="B676" s="39">
        <v>8</v>
      </c>
      <c r="C676">
        <v>26</v>
      </c>
      <c r="D676">
        <v>24</v>
      </c>
      <c r="E676">
        <v>1</v>
      </c>
      <c r="F676">
        <v>15</v>
      </c>
      <c r="G676">
        <v>74</v>
      </c>
    </row>
    <row r="677" spans="1:7" x14ac:dyDescent="0.2">
      <c r="A677">
        <v>676</v>
      </c>
      <c r="B677">
        <v>0</v>
      </c>
      <c r="C677">
        <v>26</v>
      </c>
      <c r="D677">
        <v>24</v>
      </c>
      <c r="E677">
        <v>1</v>
      </c>
      <c r="F677">
        <v>15</v>
      </c>
      <c r="G677">
        <v>66</v>
      </c>
    </row>
    <row r="678" spans="1:7" x14ac:dyDescent="0.2">
      <c r="A678">
        <v>677</v>
      </c>
      <c r="B678">
        <v>0</v>
      </c>
      <c r="C678">
        <v>26</v>
      </c>
      <c r="D678">
        <v>24</v>
      </c>
      <c r="E678">
        <v>1</v>
      </c>
      <c r="F678">
        <v>15</v>
      </c>
      <c r="G678">
        <v>66</v>
      </c>
    </row>
    <row r="679" spans="1:7" x14ac:dyDescent="0.2">
      <c r="A679">
        <v>678</v>
      </c>
      <c r="B679">
        <v>0</v>
      </c>
      <c r="C679">
        <v>28</v>
      </c>
      <c r="D679">
        <v>24</v>
      </c>
      <c r="E679">
        <v>1</v>
      </c>
      <c r="F679">
        <v>15</v>
      </c>
      <c r="G679">
        <v>68</v>
      </c>
    </row>
    <row r="680" spans="1:7" x14ac:dyDescent="0.2">
      <c r="A680">
        <v>679</v>
      </c>
      <c r="B680">
        <v>0</v>
      </c>
      <c r="C680">
        <v>25</v>
      </c>
      <c r="D680">
        <v>24</v>
      </c>
      <c r="E680">
        <v>1</v>
      </c>
      <c r="F680">
        <v>15</v>
      </c>
      <c r="G680">
        <v>65</v>
      </c>
    </row>
    <row r="681" spans="1:7" x14ac:dyDescent="0.2">
      <c r="A681">
        <v>680</v>
      </c>
      <c r="B681">
        <v>0</v>
      </c>
      <c r="C681">
        <v>23</v>
      </c>
      <c r="D681">
        <v>26</v>
      </c>
      <c r="E681">
        <v>1</v>
      </c>
      <c r="F681">
        <v>15</v>
      </c>
      <c r="G681">
        <v>65</v>
      </c>
    </row>
    <row r="682" spans="1:7" x14ac:dyDescent="0.2">
      <c r="A682">
        <v>681</v>
      </c>
      <c r="B682">
        <v>0</v>
      </c>
      <c r="C682">
        <v>23</v>
      </c>
      <c r="D682">
        <v>16</v>
      </c>
      <c r="E682">
        <v>1</v>
      </c>
      <c r="F682">
        <v>15</v>
      </c>
      <c r="G682">
        <v>55</v>
      </c>
    </row>
    <row r="683" spans="1:7" x14ac:dyDescent="0.2">
      <c r="A683">
        <v>682</v>
      </c>
      <c r="B683">
        <v>0</v>
      </c>
      <c r="C683">
        <v>23</v>
      </c>
      <c r="D683">
        <v>16</v>
      </c>
      <c r="E683">
        <v>1</v>
      </c>
      <c r="F683">
        <v>15</v>
      </c>
      <c r="G683">
        <v>55</v>
      </c>
    </row>
    <row r="684" spans="1:7" x14ac:dyDescent="0.2">
      <c r="A684">
        <v>683</v>
      </c>
      <c r="B684">
        <v>0</v>
      </c>
      <c r="C684">
        <v>23</v>
      </c>
      <c r="D684">
        <v>18</v>
      </c>
      <c r="E684">
        <v>1</v>
      </c>
      <c r="F684">
        <v>15</v>
      </c>
      <c r="G684">
        <v>57</v>
      </c>
    </row>
    <row r="685" spans="1:7" x14ac:dyDescent="0.2">
      <c r="A685">
        <v>684</v>
      </c>
      <c r="B685">
        <v>0</v>
      </c>
      <c r="C685">
        <v>23</v>
      </c>
      <c r="D685">
        <v>18</v>
      </c>
      <c r="E685">
        <v>1</v>
      </c>
      <c r="F685">
        <v>15</v>
      </c>
      <c r="G685">
        <v>57</v>
      </c>
    </row>
    <row r="686" spans="1:7" x14ac:dyDescent="0.2">
      <c r="A686">
        <v>685</v>
      </c>
      <c r="B686">
        <v>0</v>
      </c>
      <c r="C686">
        <v>23</v>
      </c>
      <c r="D686">
        <v>18</v>
      </c>
      <c r="E686">
        <v>1</v>
      </c>
      <c r="F686">
        <v>15</v>
      </c>
      <c r="G686">
        <v>57</v>
      </c>
    </row>
    <row r="687" spans="1:7" x14ac:dyDescent="0.2">
      <c r="A687">
        <v>686</v>
      </c>
      <c r="B687">
        <v>0</v>
      </c>
      <c r="C687">
        <v>23</v>
      </c>
      <c r="D687">
        <v>18</v>
      </c>
      <c r="E687">
        <v>1</v>
      </c>
      <c r="F687">
        <v>15</v>
      </c>
      <c r="G687">
        <v>57</v>
      </c>
    </row>
    <row r="688" spans="1:7" x14ac:dyDescent="0.2">
      <c r="A688">
        <v>687</v>
      </c>
      <c r="B688">
        <v>0</v>
      </c>
      <c r="C688">
        <v>18</v>
      </c>
      <c r="D688">
        <v>18</v>
      </c>
      <c r="E688">
        <v>1</v>
      </c>
      <c r="F688">
        <v>15</v>
      </c>
      <c r="G688">
        <v>52</v>
      </c>
    </row>
    <row r="689" spans="1:7" x14ac:dyDescent="0.2">
      <c r="A689">
        <v>688</v>
      </c>
      <c r="B689">
        <v>0</v>
      </c>
      <c r="C689">
        <v>18</v>
      </c>
      <c r="D689">
        <v>18</v>
      </c>
      <c r="E689">
        <v>1</v>
      </c>
      <c r="F689">
        <v>15</v>
      </c>
      <c r="G689">
        <v>52</v>
      </c>
    </row>
    <row r="690" spans="1:7" x14ac:dyDescent="0.2">
      <c r="A690">
        <v>689</v>
      </c>
      <c r="B690">
        <v>0</v>
      </c>
      <c r="C690">
        <v>16</v>
      </c>
      <c r="D690">
        <v>10</v>
      </c>
      <c r="E690">
        <v>1</v>
      </c>
      <c r="F690">
        <v>15</v>
      </c>
      <c r="G690">
        <v>42</v>
      </c>
    </row>
    <row r="691" spans="1:7" x14ac:dyDescent="0.2">
      <c r="A691">
        <v>690</v>
      </c>
      <c r="B691">
        <v>0</v>
      </c>
      <c r="C691">
        <v>16</v>
      </c>
      <c r="D691">
        <v>10</v>
      </c>
      <c r="E691">
        <v>1</v>
      </c>
      <c r="F691">
        <v>15</v>
      </c>
      <c r="G691">
        <v>42</v>
      </c>
    </row>
    <row r="692" spans="1:7" x14ac:dyDescent="0.2">
      <c r="A692">
        <v>691</v>
      </c>
      <c r="B692">
        <v>0</v>
      </c>
      <c r="C692">
        <v>22</v>
      </c>
      <c r="D692">
        <v>20</v>
      </c>
      <c r="E692">
        <v>1</v>
      </c>
      <c r="F692">
        <v>15</v>
      </c>
      <c r="G692">
        <v>58</v>
      </c>
    </row>
    <row r="693" spans="1:7" x14ac:dyDescent="0.2">
      <c r="A693">
        <v>692</v>
      </c>
      <c r="B693">
        <v>0</v>
      </c>
      <c r="C693">
        <v>22</v>
      </c>
      <c r="D693">
        <v>20</v>
      </c>
      <c r="E693">
        <v>1</v>
      </c>
      <c r="F693">
        <v>15</v>
      </c>
      <c r="G693">
        <v>58</v>
      </c>
    </row>
    <row r="694" spans="1:7" x14ac:dyDescent="0.2">
      <c r="A694">
        <v>693</v>
      </c>
      <c r="B694">
        <v>0</v>
      </c>
      <c r="C694">
        <v>20</v>
      </c>
      <c r="D694">
        <v>20</v>
      </c>
      <c r="E694">
        <v>1</v>
      </c>
      <c r="F694">
        <v>15</v>
      </c>
      <c r="G694">
        <v>56</v>
      </c>
    </row>
    <row r="695" spans="1:7" x14ac:dyDescent="0.2">
      <c r="A695">
        <v>694</v>
      </c>
      <c r="B695">
        <v>0</v>
      </c>
      <c r="C695">
        <v>20</v>
      </c>
      <c r="D695">
        <v>20</v>
      </c>
      <c r="E695">
        <v>1</v>
      </c>
      <c r="F695">
        <v>15</v>
      </c>
      <c r="G695">
        <v>56</v>
      </c>
    </row>
    <row r="696" spans="1:7" x14ac:dyDescent="0.2">
      <c r="A696">
        <v>695</v>
      </c>
      <c r="B696">
        <v>0</v>
      </c>
      <c r="C696">
        <v>20</v>
      </c>
      <c r="D696">
        <v>18</v>
      </c>
      <c r="E696">
        <v>1</v>
      </c>
      <c r="F696">
        <v>15</v>
      </c>
      <c r="G696">
        <v>54</v>
      </c>
    </row>
    <row r="697" spans="1:7" x14ac:dyDescent="0.2">
      <c r="A697">
        <v>696</v>
      </c>
      <c r="B697">
        <v>0</v>
      </c>
      <c r="C697">
        <v>20</v>
      </c>
      <c r="D697">
        <v>16</v>
      </c>
      <c r="E697">
        <v>1</v>
      </c>
      <c r="F697">
        <v>15</v>
      </c>
      <c r="G697">
        <v>52</v>
      </c>
    </row>
    <row r="698" spans="1:7" x14ac:dyDescent="0.2">
      <c r="A698">
        <v>697</v>
      </c>
      <c r="B698">
        <v>0</v>
      </c>
      <c r="C698">
        <v>20</v>
      </c>
      <c r="D698">
        <v>16</v>
      </c>
      <c r="E698">
        <v>1</v>
      </c>
      <c r="F698">
        <v>15</v>
      </c>
      <c r="G698">
        <v>52</v>
      </c>
    </row>
    <row r="699" spans="1:7" x14ac:dyDescent="0.2">
      <c r="A699">
        <v>698</v>
      </c>
      <c r="B699">
        <v>0</v>
      </c>
      <c r="C699">
        <v>20</v>
      </c>
      <c r="D699">
        <v>14</v>
      </c>
      <c r="E699">
        <v>1</v>
      </c>
      <c r="F699">
        <v>15</v>
      </c>
      <c r="G699">
        <v>50</v>
      </c>
    </row>
    <row r="700" spans="1:7" x14ac:dyDescent="0.2">
      <c r="A700">
        <v>699</v>
      </c>
      <c r="B700">
        <v>0</v>
      </c>
      <c r="C700">
        <v>20</v>
      </c>
      <c r="D700">
        <v>14</v>
      </c>
      <c r="E700">
        <v>1</v>
      </c>
      <c r="F700">
        <v>15</v>
      </c>
      <c r="G700">
        <v>50</v>
      </c>
    </row>
    <row r="701" spans="1:7" x14ac:dyDescent="0.2">
      <c r="A701">
        <v>700</v>
      </c>
      <c r="B701">
        <v>0</v>
      </c>
      <c r="C701">
        <v>20</v>
      </c>
      <c r="D701">
        <v>16</v>
      </c>
      <c r="E701">
        <v>1</v>
      </c>
      <c r="F701">
        <v>15</v>
      </c>
      <c r="G701">
        <v>52</v>
      </c>
    </row>
    <row r="702" spans="1:7" x14ac:dyDescent="0.2">
      <c r="A702">
        <v>701</v>
      </c>
      <c r="B702">
        <v>0</v>
      </c>
      <c r="C702">
        <v>20</v>
      </c>
      <c r="D702">
        <v>16</v>
      </c>
      <c r="E702">
        <v>1</v>
      </c>
      <c r="F702">
        <v>15</v>
      </c>
      <c r="G702">
        <v>52</v>
      </c>
    </row>
    <row r="703" spans="1:7" x14ac:dyDescent="0.2">
      <c r="A703">
        <v>702</v>
      </c>
      <c r="B703">
        <v>0</v>
      </c>
      <c r="C703">
        <v>20</v>
      </c>
      <c r="D703">
        <v>18</v>
      </c>
      <c r="E703">
        <v>1</v>
      </c>
      <c r="F703">
        <v>17</v>
      </c>
      <c r="G703">
        <v>56</v>
      </c>
    </row>
    <row r="704" spans="1:7" x14ac:dyDescent="0.2">
      <c r="A704">
        <v>703</v>
      </c>
      <c r="B704">
        <v>0</v>
      </c>
      <c r="C704">
        <v>20</v>
      </c>
      <c r="D704">
        <v>18</v>
      </c>
      <c r="E704">
        <v>1</v>
      </c>
      <c r="F704">
        <v>17</v>
      </c>
      <c r="G704">
        <v>56</v>
      </c>
    </row>
    <row r="705" spans="1:7" x14ac:dyDescent="0.2">
      <c r="A705">
        <v>704</v>
      </c>
      <c r="B705">
        <v>0</v>
      </c>
      <c r="C705">
        <v>20</v>
      </c>
      <c r="D705">
        <v>18</v>
      </c>
      <c r="E705">
        <v>1</v>
      </c>
      <c r="F705">
        <v>17</v>
      </c>
      <c r="G705">
        <v>56</v>
      </c>
    </row>
    <row r="706" spans="1:7" x14ac:dyDescent="0.2">
      <c r="A706">
        <v>705</v>
      </c>
      <c r="B706">
        <v>0</v>
      </c>
      <c r="C706">
        <v>20</v>
      </c>
      <c r="D706">
        <v>18</v>
      </c>
      <c r="E706">
        <v>1</v>
      </c>
      <c r="F706">
        <v>17</v>
      </c>
      <c r="G706">
        <v>56</v>
      </c>
    </row>
    <row r="707" spans="1:7" x14ac:dyDescent="0.2">
      <c r="A707">
        <v>706</v>
      </c>
      <c r="B707">
        <v>0</v>
      </c>
      <c r="C707">
        <v>20</v>
      </c>
      <c r="D707">
        <v>18</v>
      </c>
      <c r="E707">
        <v>1</v>
      </c>
      <c r="F707">
        <v>18</v>
      </c>
      <c r="G707">
        <v>57</v>
      </c>
    </row>
    <row r="708" spans="1:7" x14ac:dyDescent="0.2">
      <c r="A708">
        <v>707</v>
      </c>
      <c r="B708">
        <v>0</v>
      </c>
      <c r="C708">
        <v>20</v>
      </c>
      <c r="D708">
        <v>18</v>
      </c>
      <c r="E708">
        <v>1</v>
      </c>
      <c r="F708">
        <v>18</v>
      </c>
      <c r="G708">
        <v>57</v>
      </c>
    </row>
    <row r="709" spans="1:7" x14ac:dyDescent="0.2">
      <c r="A709">
        <v>708</v>
      </c>
      <c r="B709">
        <v>0</v>
      </c>
      <c r="C709">
        <v>20</v>
      </c>
      <c r="D709">
        <v>18</v>
      </c>
      <c r="E709">
        <v>1</v>
      </c>
      <c r="F709">
        <v>18</v>
      </c>
      <c r="G709">
        <v>57</v>
      </c>
    </row>
    <row r="710" spans="1:7" x14ac:dyDescent="0.2">
      <c r="A710">
        <v>709</v>
      </c>
      <c r="B710">
        <v>0</v>
      </c>
      <c r="C710">
        <v>15</v>
      </c>
      <c r="D710">
        <v>16</v>
      </c>
      <c r="E710">
        <v>1</v>
      </c>
      <c r="F710">
        <v>16</v>
      </c>
      <c r="G710">
        <v>48</v>
      </c>
    </row>
    <row r="711" spans="1:7" x14ac:dyDescent="0.2">
      <c r="A711">
        <v>710</v>
      </c>
      <c r="B711">
        <v>0</v>
      </c>
      <c r="C711">
        <v>14</v>
      </c>
      <c r="D711">
        <v>16</v>
      </c>
      <c r="E711">
        <v>1</v>
      </c>
      <c r="F711">
        <v>16</v>
      </c>
      <c r="G711">
        <v>47</v>
      </c>
    </row>
    <row r="712" spans="1:7" x14ac:dyDescent="0.2">
      <c r="A712">
        <v>711</v>
      </c>
      <c r="B712">
        <v>0</v>
      </c>
      <c r="C712">
        <v>13</v>
      </c>
      <c r="D712">
        <v>16</v>
      </c>
      <c r="E712">
        <v>1</v>
      </c>
      <c r="F712">
        <v>16</v>
      </c>
      <c r="G712">
        <v>46</v>
      </c>
    </row>
    <row r="713" spans="1:7" x14ac:dyDescent="0.2">
      <c r="A713">
        <v>712</v>
      </c>
      <c r="B713">
        <v>0</v>
      </c>
      <c r="C713">
        <v>13</v>
      </c>
      <c r="D713">
        <v>16</v>
      </c>
      <c r="E713">
        <v>1</v>
      </c>
      <c r="F713">
        <v>16</v>
      </c>
      <c r="G713">
        <v>46</v>
      </c>
    </row>
    <row r="714" spans="1:7" x14ac:dyDescent="0.2">
      <c r="A714">
        <v>713</v>
      </c>
      <c r="B714">
        <v>0</v>
      </c>
      <c r="C714">
        <v>13</v>
      </c>
      <c r="D714">
        <v>16</v>
      </c>
      <c r="E714">
        <v>1</v>
      </c>
      <c r="F714">
        <v>13</v>
      </c>
      <c r="G714">
        <v>43</v>
      </c>
    </row>
    <row r="715" spans="1:7" x14ac:dyDescent="0.2">
      <c r="A715">
        <v>714</v>
      </c>
      <c r="B715">
        <v>0</v>
      </c>
      <c r="C715">
        <v>13</v>
      </c>
      <c r="D715">
        <v>16</v>
      </c>
      <c r="E715">
        <v>1</v>
      </c>
      <c r="F715">
        <v>15</v>
      </c>
      <c r="G715">
        <v>45</v>
      </c>
    </row>
    <row r="716" spans="1:7" x14ac:dyDescent="0.2">
      <c r="A716">
        <v>715</v>
      </c>
      <c r="B716">
        <v>0</v>
      </c>
      <c r="C716">
        <v>13</v>
      </c>
      <c r="D716">
        <v>14</v>
      </c>
      <c r="E716">
        <v>1</v>
      </c>
      <c r="F716">
        <v>14</v>
      </c>
      <c r="G716">
        <v>42</v>
      </c>
    </row>
    <row r="717" spans="1:7" x14ac:dyDescent="0.2">
      <c r="A717">
        <v>716</v>
      </c>
      <c r="B717">
        <v>0</v>
      </c>
      <c r="C717">
        <v>11</v>
      </c>
      <c r="D717">
        <v>14</v>
      </c>
      <c r="E717">
        <v>1</v>
      </c>
      <c r="F717">
        <v>14</v>
      </c>
      <c r="G717">
        <v>40</v>
      </c>
    </row>
    <row r="718" spans="1:7" x14ac:dyDescent="0.2">
      <c r="A718">
        <v>717</v>
      </c>
      <c r="B718">
        <v>0</v>
      </c>
      <c r="C718">
        <v>11</v>
      </c>
      <c r="D718">
        <v>12</v>
      </c>
      <c r="E718">
        <v>1</v>
      </c>
      <c r="F718">
        <v>14</v>
      </c>
      <c r="G718">
        <v>38</v>
      </c>
    </row>
    <row r="719" spans="1:7" x14ac:dyDescent="0.2">
      <c r="A719">
        <v>718</v>
      </c>
      <c r="B719">
        <v>0</v>
      </c>
      <c r="C719">
        <v>10</v>
      </c>
      <c r="D719">
        <v>10</v>
      </c>
      <c r="E719">
        <v>1</v>
      </c>
      <c r="F719">
        <v>14</v>
      </c>
      <c r="G719">
        <v>35</v>
      </c>
    </row>
    <row r="720" spans="1:7" x14ac:dyDescent="0.2">
      <c r="A720">
        <v>719</v>
      </c>
      <c r="B720">
        <v>0</v>
      </c>
      <c r="C720">
        <v>10</v>
      </c>
      <c r="D720">
        <v>10</v>
      </c>
      <c r="E720">
        <v>1</v>
      </c>
      <c r="F720">
        <v>14</v>
      </c>
      <c r="G720">
        <v>35</v>
      </c>
    </row>
    <row r="721" spans="1:7" x14ac:dyDescent="0.2">
      <c r="A721">
        <v>720</v>
      </c>
      <c r="B721">
        <v>0</v>
      </c>
      <c r="C721">
        <v>9</v>
      </c>
      <c r="D721">
        <v>10</v>
      </c>
      <c r="E721">
        <v>1</v>
      </c>
      <c r="F721">
        <v>14</v>
      </c>
      <c r="G721">
        <v>34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2:P251"/>
  <sheetViews>
    <sheetView workbookViewId="0">
      <selection activeCell="T17" sqref="T17"/>
    </sheetView>
  </sheetViews>
  <sheetFormatPr baseColWidth="10" defaultColWidth="8.83203125" defaultRowHeight="15" x14ac:dyDescent="0.2"/>
  <cols>
    <col min="1" max="1" width="2.83203125" bestFit="1" customWidth="1"/>
    <col min="2" max="2" width="5.6640625" bestFit="1" customWidth="1"/>
    <col min="3" max="3" width="6.6640625" bestFit="1" customWidth="1"/>
    <col min="4" max="4" width="13.33203125" bestFit="1" customWidth="1"/>
    <col min="5" max="5" width="23.1640625" bestFit="1" customWidth="1"/>
    <col min="6" max="6" width="8.33203125" bestFit="1" customWidth="1"/>
    <col min="7" max="7" width="11.33203125" bestFit="1" customWidth="1"/>
    <col min="8" max="8" width="16.33203125" bestFit="1" customWidth="1"/>
    <col min="9" max="12" width="10.33203125" bestFit="1" customWidth="1"/>
    <col min="13" max="13" width="17.1640625" bestFit="1" customWidth="1"/>
    <col min="14" max="14" width="14" bestFit="1" customWidth="1"/>
    <col min="15" max="15" width="8.6640625" bestFit="1" customWidth="1"/>
    <col min="19" max="19" width="9.6640625" bestFit="1" customWidth="1"/>
    <col min="20" max="20" width="10.1640625" bestFit="1" customWidth="1"/>
    <col min="21" max="21" width="9.33203125" bestFit="1" customWidth="1"/>
  </cols>
  <sheetData>
    <row r="2" spans="1:15" x14ac:dyDescent="0.2">
      <c r="A2" s="8"/>
      <c r="B2" s="8"/>
      <c r="C2" s="8"/>
      <c r="D2" s="8"/>
      <c r="E2" s="8"/>
      <c r="F2" s="8"/>
      <c r="G2" s="8"/>
      <c r="I2" s="3"/>
      <c r="J2" s="3"/>
      <c r="K2" s="3"/>
      <c r="L2" s="3"/>
      <c r="N2" s="8"/>
      <c r="O2" s="8"/>
    </row>
    <row r="3" spans="1:15" x14ac:dyDescent="0.2">
      <c r="A3" s="8"/>
      <c r="B3" s="8"/>
      <c r="C3" s="8"/>
      <c r="D3" s="8"/>
      <c r="E3" s="8"/>
      <c r="F3" s="8"/>
      <c r="G3" s="8"/>
      <c r="I3" s="3"/>
      <c r="J3" s="3"/>
      <c r="K3" s="3"/>
      <c r="L3" s="3"/>
      <c r="N3" s="8"/>
      <c r="O3" s="8"/>
    </row>
    <row r="4" spans="1:15" x14ac:dyDescent="0.2">
      <c r="A4" s="8"/>
      <c r="B4" s="8"/>
      <c r="C4" s="8"/>
      <c r="D4" s="8"/>
      <c r="E4" s="8"/>
      <c r="F4" s="8"/>
      <c r="G4" s="8"/>
      <c r="I4" s="3"/>
      <c r="J4" s="3"/>
      <c r="K4" s="3"/>
      <c r="L4" s="3"/>
      <c r="N4" s="8"/>
      <c r="O4" s="8"/>
    </row>
    <row r="5" spans="1:15" x14ac:dyDescent="0.2">
      <c r="A5" s="8"/>
      <c r="B5" s="8"/>
      <c r="C5" s="8"/>
      <c r="D5" s="8"/>
      <c r="E5" s="8"/>
      <c r="F5" s="8"/>
      <c r="G5" s="8"/>
      <c r="I5" s="3"/>
      <c r="J5" s="3"/>
      <c r="K5" s="3"/>
      <c r="L5" s="3"/>
      <c r="N5" s="8"/>
      <c r="O5" s="8"/>
    </row>
    <row r="6" spans="1:15" x14ac:dyDescent="0.2">
      <c r="A6" s="8"/>
      <c r="B6" s="8"/>
      <c r="C6" s="8"/>
      <c r="D6" s="8"/>
      <c r="E6" s="8"/>
      <c r="F6" s="8"/>
      <c r="G6" s="8"/>
      <c r="I6" s="3"/>
      <c r="J6" s="3"/>
      <c r="K6" s="3"/>
      <c r="L6" s="3"/>
      <c r="N6" s="8"/>
      <c r="O6" s="8"/>
    </row>
    <row r="7" spans="1:15" x14ac:dyDescent="0.2">
      <c r="A7" s="8"/>
      <c r="B7" s="8"/>
      <c r="C7" s="8"/>
      <c r="D7" s="8"/>
      <c r="E7" s="8"/>
      <c r="F7" s="8"/>
      <c r="G7" s="8"/>
      <c r="I7" s="3"/>
      <c r="J7" s="3"/>
      <c r="K7" s="3"/>
      <c r="L7" s="3"/>
      <c r="N7" s="8"/>
      <c r="O7" s="8"/>
    </row>
    <row r="8" spans="1:15" x14ac:dyDescent="0.2">
      <c r="A8" s="8"/>
      <c r="B8" s="8"/>
      <c r="C8" s="8"/>
      <c r="D8" s="8"/>
      <c r="E8" s="8"/>
      <c r="F8" s="8"/>
      <c r="G8" s="8"/>
      <c r="I8" s="3"/>
      <c r="J8" s="3"/>
      <c r="K8" s="3"/>
      <c r="L8" s="3"/>
      <c r="N8" s="8"/>
      <c r="O8" s="8"/>
    </row>
    <row r="9" spans="1:15" x14ac:dyDescent="0.2">
      <c r="A9" s="8"/>
      <c r="B9" s="8"/>
      <c r="C9" s="8"/>
      <c r="D9" s="8"/>
      <c r="E9" s="8"/>
      <c r="F9" s="8"/>
      <c r="G9" s="8"/>
      <c r="I9" s="3"/>
      <c r="J9" s="3"/>
      <c r="K9" s="3"/>
      <c r="L9" s="3"/>
      <c r="N9" s="8"/>
      <c r="O9" s="8"/>
    </row>
    <row r="10" spans="1:15" x14ac:dyDescent="0.2">
      <c r="A10" s="8"/>
      <c r="B10" s="8"/>
      <c r="C10" s="8"/>
      <c r="D10" s="8"/>
      <c r="E10" s="8"/>
      <c r="F10" s="8"/>
      <c r="G10" s="8"/>
      <c r="I10" s="3"/>
      <c r="J10" s="3"/>
      <c r="K10" s="3"/>
      <c r="L10" s="3"/>
      <c r="N10" s="8"/>
      <c r="O10" s="8"/>
    </row>
    <row r="11" spans="1:15" x14ac:dyDescent="0.2">
      <c r="A11" s="8"/>
      <c r="B11" s="8"/>
      <c r="C11" s="8"/>
      <c r="D11" s="8"/>
      <c r="E11" s="8"/>
      <c r="F11" s="8"/>
      <c r="G11" s="8"/>
      <c r="I11" s="3"/>
      <c r="J11" s="3"/>
      <c r="K11" s="3"/>
      <c r="L11" s="3"/>
      <c r="N11" s="8"/>
      <c r="O11" s="8"/>
    </row>
    <row r="12" spans="1:15" x14ac:dyDescent="0.2">
      <c r="A12" s="8"/>
      <c r="B12" s="8"/>
      <c r="C12" s="8"/>
      <c r="D12" s="8"/>
      <c r="E12" s="8"/>
      <c r="F12" s="8"/>
      <c r="G12" s="8"/>
      <c r="I12" s="3"/>
      <c r="J12" s="3"/>
      <c r="K12" s="3"/>
      <c r="L12" s="3"/>
      <c r="N12" s="8"/>
      <c r="O12" s="8"/>
    </row>
    <row r="13" spans="1:15" x14ac:dyDescent="0.2">
      <c r="A13" s="8"/>
      <c r="B13" s="8"/>
      <c r="C13" s="8"/>
      <c r="D13" s="8"/>
      <c r="E13" s="8"/>
      <c r="F13" s="8"/>
      <c r="G13" s="8"/>
      <c r="I13" s="3"/>
      <c r="J13" s="3"/>
      <c r="K13" s="3"/>
      <c r="L13" s="3"/>
      <c r="N13" s="8"/>
      <c r="O13" s="8"/>
    </row>
    <row r="14" spans="1:15" x14ac:dyDescent="0.2">
      <c r="A14" s="8"/>
      <c r="B14" s="8"/>
      <c r="C14" s="8"/>
      <c r="D14" s="8"/>
      <c r="E14" s="8"/>
      <c r="F14" s="8"/>
      <c r="G14" s="8"/>
      <c r="I14" s="3"/>
      <c r="J14" s="3"/>
      <c r="K14" s="3"/>
      <c r="L14" s="3"/>
      <c r="N14" s="8"/>
      <c r="O14" s="8"/>
    </row>
    <row r="15" spans="1:15" x14ac:dyDescent="0.2">
      <c r="A15" s="8"/>
      <c r="B15" s="8"/>
      <c r="C15" s="8"/>
      <c r="D15" s="8"/>
      <c r="E15" s="8"/>
      <c r="F15" s="8"/>
      <c r="G15" s="8"/>
      <c r="I15" s="3"/>
      <c r="J15" s="3"/>
      <c r="K15" s="3"/>
      <c r="L15" s="3"/>
      <c r="N15" s="8"/>
      <c r="O15" s="8"/>
    </row>
    <row r="16" spans="1:15" x14ac:dyDescent="0.2">
      <c r="A16" s="8"/>
      <c r="B16" s="8"/>
      <c r="C16" s="8"/>
      <c r="D16" s="8"/>
      <c r="E16" s="8"/>
      <c r="F16" s="8"/>
      <c r="G16" s="8"/>
      <c r="I16" s="3"/>
      <c r="J16" s="3"/>
      <c r="K16" s="3"/>
      <c r="L16" s="3"/>
      <c r="N16" s="8"/>
      <c r="O16" s="8"/>
    </row>
    <row r="17" spans="1:15" x14ac:dyDescent="0.2">
      <c r="A17" s="8"/>
      <c r="B17" s="8"/>
      <c r="C17" s="8"/>
      <c r="D17" s="8"/>
      <c r="E17" s="8"/>
      <c r="F17" s="8"/>
      <c r="G17" s="8"/>
      <c r="I17" s="3"/>
      <c r="J17" s="3"/>
      <c r="K17" s="3"/>
      <c r="L17" s="3"/>
      <c r="N17" s="8"/>
      <c r="O17" s="8"/>
    </row>
    <row r="18" spans="1:15" x14ac:dyDescent="0.2">
      <c r="A18" s="8"/>
      <c r="B18" s="8"/>
      <c r="C18" s="8"/>
      <c r="D18" s="8"/>
      <c r="E18" s="8"/>
      <c r="F18" s="8"/>
      <c r="G18" s="8"/>
      <c r="I18" s="3"/>
      <c r="J18" s="3"/>
      <c r="K18" s="3"/>
      <c r="L18" s="3"/>
      <c r="N18" s="8"/>
      <c r="O18" s="8"/>
    </row>
    <row r="19" spans="1:15" x14ac:dyDescent="0.2">
      <c r="A19" s="8"/>
      <c r="B19" s="8"/>
      <c r="C19" s="8"/>
      <c r="D19" s="8"/>
      <c r="E19" s="8"/>
      <c r="F19" s="8"/>
      <c r="G19" s="8"/>
      <c r="I19" s="3"/>
      <c r="J19" s="3"/>
      <c r="K19" s="3"/>
      <c r="L19" s="3"/>
      <c r="N19" s="8"/>
      <c r="O19" s="8"/>
    </row>
    <row r="20" spans="1:15" x14ac:dyDescent="0.2">
      <c r="A20" s="8"/>
      <c r="B20" s="8"/>
      <c r="C20" s="8"/>
      <c r="D20" s="8"/>
      <c r="E20" s="8"/>
      <c r="F20" s="8"/>
      <c r="G20" s="8"/>
      <c r="I20" s="3"/>
      <c r="J20" s="3"/>
      <c r="K20" s="3"/>
      <c r="L20" s="3"/>
      <c r="N20" s="8"/>
      <c r="O20" s="8"/>
    </row>
    <row r="21" spans="1:15" x14ac:dyDescent="0.2">
      <c r="A21" s="8"/>
      <c r="B21" s="8"/>
      <c r="C21" s="8"/>
      <c r="D21" s="8"/>
      <c r="E21" s="8"/>
      <c r="F21" s="8"/>
      <c r="G21" s="8"/>
      <c r="I21" s="3"/>
      <c r="J21" s="3"/>
      <c r="K21" s="3"/>
      <c r="L21" s="3"/>
      <c r="N21" s="8"/>
      <c r="O21" s="8"/>
    </row>
    <row r="22" spans="1:15" x14ac:dyDescent="0.2">
      <c r="A22" s="8"/>
      <c r="B22" s="8"/>
      <c r="C22" s="8"/>
      <c r="D22" s="8"/>
      <c r="E22" s="8"/>
      <c r="F22" s="8"/>
      <c r="G22" s="8"/>
      <c r="I22" s="3"/>
      <c r="J22" s="3"/>
      <c r="K22" s="3"/>
      <c r="L22" s="3"/>
      <c r="N22" s="8"/>
      <c r="O22" s="8"/>
    </row>
    <row r="23" spans="1:15" x14ac:dyDescent="0.2">
      <c r="A23" s="8"/>
      <c r="B23" s="8"/>
      <c r="C23" s="8"/>
      <c r="D23" s="8"/>
      <c r="E23" s="8"/>
      <c r="F23" s="8"/>
      <c r="G23" s="8"/>
      <c r="I23" s="3"/>
      <c r="J23" s="3"/>
      <c r="K23" s="3"/>
      <c r="L23" s="3"/>
      <c r="N23" s="8"/>
      <c r="O23" s="8"/>
    </row>
    <row r="24" spans="1:15" x14ac:dyDescent="0.2">
      <c r="A24" s="8"/>
      <c r="B24" s="8"/>
      <c r="C24" s="8"/>
      <c r="D24" s="8"/>
      <c r="E24" s="8"/>
      <c r="F24" s="8"/>
      <c r="G24" s="8"/>
      <c r="I24" s="3"/>
      <c r="J24" s="3"/>
      <c r="K24" s="3"/>
      <c r="L24" s="3"/>
      <c r="N24" s="8"/>
      <c r="O24" s="8"/>
    </row>
    <row r="25" spans="1:15" x14ac:dyDescent="0.2">
      <c r="A25" s="8"/>
      <c r="B25" s="8"/>
      <c r="C25" s="8"/>
      <c r="D25" s="8"/>
      <c r="E25" s="8"/>
      <c r="F25" s="8"/>
      <c r="G25" s="8"/>
      <c r="I25" s="3"/>
      <c r="J25" s="3"/>
      <c r="K25" s="3"/>
      <c r="L25" s="3"/>
      <c r="N25" s="8"/>
      <c r="O25" s="8"/>
    </row>
    <row r="26" spans="1:15" x14ac:dyDescent="0.2">
      <c r="A26" s="8"/>
      <c r="B26" s="8"/>
      <c r="C26" s="8"/>
      <c r="D26" s="8"/>
      <c r="E26" s="8"/>
      <c r="F26" s="8"/>
      <c r="G26" s="8"/>
      <c r="I26" s="3"/>
      <c r="J26" s="3"/>
      <c r="K26" s="3"/>
      <c r="L26" s="3"/>
      <c r="N26" s="8"/>
      <c r="O26" s="8"/>
    </row>
    <row r="27" spans="1:15" x14ac:dyDescent="0.2">
      <c r="A27" s="8"/>
      <c r="B27" s="8"/>
      <c r="C27" s="8"/>
      <c r="D27" s="8"/>
      <c r="E27" s="8"/>
      <c r="F27" s="8"/>
      <c r="G27" s="8"/>
      <c r="I27" s="3"/>
      <c r="J27" s="3"/>
      <c r="K27" s="3"/>
      <c r="L27" s="3"/>
      <c r="N27" s="8"/>
      <c r="O27" s="8"/>
    </row>
    <row r="28" spans="1:15" x14ac:dyDescent="0.2">
      <c r="A28" s="8"/>
      <c r="B28" s="8"/>
      <c r="C28" s="8"/>
      <c r="D28" s="8"/>
      <c r="E28" s="8"/>
      <c r="F28" s="8"/>
      <c r="G28" s="8"/>
      <c r="I28" s="3"/>
      <c r="J28" s="3"/>
      <c r="K28" s="3"/>
      <c r="L28" s="3"/>
      <c r="N28" s="8"/>
      <c r="O28" s="8"/>
    </row>
    <row r="29" spans="1:15" x14ac:dyDescent="0.2">
      <c r="A29" s="8"/>
      <c r="B29" s="8"/>
      <c r="C29" s="8"/>
      <c r="D29" s="8"/>
      <c r="E29" s="8"/>
      <c r="F29" s="8"/>
      <c r="G29" s="8"/>
      <c r="I29" s="3"/>
      <c r="J29" s="3"/>
      <c r="K29" s="3"/>
      <c r="L29" s="3"/>
      <c r="N29" s="8"/>
      <c r="O29" s="8"/>
    </row>
    <row r="30" spans="1:15" x14ac:dyDescent="0.2">
      <c r="A30" s="8"/>
      <c r="B30" s="8"/>
      <c r="C30" s="8"/>
      <c r="D30" s="8"/>
      <c r="E30" s="8"/>
      <c r="F30" s="8"/>
      <c r="G30" s="8"/>
      <c r="I30" s="3"/>
      <c r="J30" s="3"/>
      <c r="K30" s="3"/>
      <c r="L30" s="3"/>
      <c r="N30" s="8"/>
      <c r="O30" s="8"/>
    </row>
    <row r="31" spans="1:15" x14ac:dyDescent="0.2">
      <c r="A31" s="8"/>
      <c r="B31" s="8"/>
      <c r="C31" s="8"/>
      <c r="D31" s="8"/>
      <c r="E31" s="8"/>
      <c r="F31" s="8"/>
      <c r="G31" s="8"/>
      <c r="I31" s="3"/>
      <c r="J31" s="3"/>
      <c r="K31" s="3"/>
      <c r="L31" s="3"/>
      <c r="N31" s="8"/>
      <c r="O31" s="8"/>
    </row>
    <row r="32" spans="1:15" x14ac:dyDescent="0.2">
      <c r="A32" s="8"/>
      <c r="B32" s="8"/>
      <c r="C32" s="8"/>
      <c r="D32" s="8"/>
      <c r="E32" s="8"/>
      <c r="F32" s="8"/>
      <c r="G32" s="8"/>
      <c r="I32" s="3"/>
      <c r="J32" s="3"/>
      <c r="K32" s="3"/>
      <c r="L32" s="3"/>
      <c r="N32" s="8"/>
      <c r="O32" s="8"/>
    </row>
    <row r="33" spans="1:15" x14ac:dyDescent="0.2">
      <c r="A33" s="8"/>
      <c r="B33" s="8"/>
      <c r="C33" s="8"/>
      <c r="D33" s="8"/>
      <c r="E33" s="8"/>
      <c r="F33" s="8"/>
      <c r="G33" s="8"/>
      <c r="I33" s="3"/>
      <c r="J33" s="3"/>
      <c r="K33" s="3"/>
      <c r="L33" s="3"/>
      <c r="N33" s="8"/>
      <c r="O33" s="8"/>
    </row>
    <row r="34" spans="1:15" x14ac:dyDescent="0.2">
      <c r="A34" s="8"/>
      <c r="B34" s="8"/>
      <c r="C34" s="8"/>
      <c r="D34" s="8"/>
      <c r="E34" s="8"/>
      <c r="F34" s="8"/>
      <c r="G34" s="8"/>
      <c r="I34" s="3"/>
      <c r="J34" s="3"/>
      <c r="K34" s="3"/>
      <c r="L34" s="3"/>
      <c r="N34" s="8"/>
      <c r="O34" s="8"/>
    </row>
    <row r="35" spans="1:15" x14ac:dyDescent="0.2">
      <c r="A35" s="8"/>
      <c r="B35" s="8"/>
      <c r="C35" s="8"/>
      <c r="D35" s="8"/>
      <c r="E35" s="8"/>
      <c r="F35" s="8"/>
      <c r="G35" s="8"/>
      <c r="I35" s="3"/>
      <c r="J35" s="3"/>
      <c r="K35" s="3"/>
      <c r="L35" s="3"/>
      <c r="N35" s="8"/>
      <c r="O35" s="8"/>
    </row>
    <row r="36" spans="1:15" x14ac:dyDescent="0.2">
      <c r="A36" s="8"/>
      <c r="B36" s="8"/>
      <c r="C36" s="8"/>
      <c r="D36" s="8"/>
      <c r="E36" s="8"/>
      <c r="F36" s="8"/>
      <c r="G36" s="8"/>
      <c r="I36" s="3"/>
      <c r="J36" s="3"/>
      <c r="K36" s="3"/>
      <c r="L36" s="3"/>
      <c r="N36" s="8"/>
      <c r="O36" s="8"/>
    </row>
    <row r="37" spans="1:15" x14ac:dyDescent="0.2">
      <c r="A37" s="8"/>
      <c r="B37" s="8"/>
      <c r="C37" s="8"/>
      <c r="D37" s="8"/>
      <c r="E37" s="8"/>
      <c r="F37" s="8"/>
      <c r="G37" s="8"/>
      <c r="I37" s="8"/>
      <c r="J37" s="8"/>
      <c r="K37" s="8"/>
      <c r="L37" s="8"/>
      <c r="N37" s="8"/>
      <c r="O37" s="8"/>
    </row>
    <row r="38" spans="1:15" x14ac:dyDescent="0.2">
      <c r="A38" s="8"/>
      <c r="B38" s="8"/>
      <c r="C38" s="8"/>
      <c r="D38" s="8"/>
      <c r="E38" s="8"/>
      <c r="F38" s="8"/>
      <c r="G38" s="8"/>
      <c r="I38" s="8"/>
      <c r="J38" s="8"/>
      <c r="K38" s="8"/>
      <c r="L38" s="8"/>
      <c r="N38" s="8"/>
      <c r="O38" s="8"/>
    </row>
    <row r="39" spans="1:15" x14ac:dyDescent="0.2">
      <c r="A39" s="8"/>
      <c r="B39" s="8"/>
      <c r="C39" s="8"/>
      <c r="D39" s="8"/>
      <c r="E39" s="8"/>
      <c r="F39" s="8"/>
      <c r="G39" s="8"/>
      <c r="I39" s="8"/>
      <c r="J39" s="8"/>
      <c r="K39" s="8"/>
      <c r="L39" s="8"/>
      <c r="N39" s="8"/>
      <c r="O39" s="8"/>
    </row>
    <row r="40" spans="1:15" x14ac:dyDescent="0.2">
      <c r="A40" s="8"/>
      <c r="B40" s="8"/>
      <c r="C40" s="8"/>
      <c r="D40" s="8"/>
      <c r="E40" s="8"/>
      <c r="F40" s="8"/>
      <c r="G40" s="8"/>
      <c r="I40" s="8"/>
      <c r="J40" s="8"/>
      <c r="K40" s="8"/>
      <c r="L40" s="8"/>
      <c r="N40" s="8"/>
      <c r="O40" s="8"/>
    </row>
    <row r="41" spans="1:15" x14ac:dyDescent="0.2">
      <c r="A41" s="8"/>
      <c r="B41" s="8"/>
      <c r="C41" s="8"/>
      <c r="D41" s="8"/>
      <c r="E41" s="8"/>
      <c r="F41" s="8"/>
      <c r="G41" s="8"/>
      <c r="I41" s="8"/>
      <c r="J41" s="8"/>
      <c r="K41" s="8"/>
      <c r="L41" s="8"/>
      <c r="N41" s="8"/>
      <c r="O41" s="8"/>
    </row>
    <row r="42" spans="1:15" x14ac:dyDescent="0.2">
      <c r="A42" s="8"/>
      <c r="B42" s="8"/>
      <c r="C42" s="8"/>
      <c r="D42" s="8"/>
      <c r="E42" s="8"/>
      <c r="F42" s="8"/>
      <c r="G42" s="8"/>
      <c r="I42" s="8"/>
      <c r="J42" s="8"/>
      <c r="K42" s="8"/>
      <c r="L42" s="8"/>
      <c r="N42" s="8"/>
      <c r="O42" s="8"/>
    </row>
    <row r="43" spans="1:15" x14ac:dyDescent="0.2">
      <c r="A43" s="8"/>
      <c r="B43" s="8"/>
      <c r="C43" s="8"/>
      <c r="D43" s="8"/>
      <c r="E43" s="8"/>
      <c r="F43" s="8"/>
      <c r="G43" s="8"/>
      <c r="I43" s="8"/>
      <c r="J43" s="8"/>
      <c r="K43" s="8"/>
      <c r="L43" s="8"/>
      <c r="N43" s="8"/>
      <c r="O43" s="8"/>
    </row>
    <row r="44" spans="1:15" x14ac:dyDescent="0.2">
      <c r="A44" s="8"/>
      <c r="B44" s="8"/>
      <c r="C44" s="8"/>
      <c r="D44" s="8"/>
      <c r="E44" s="8"/>
      <c r="F44" s="8"/>
      <c r="G44" s="8"/>
      <c r="I44" s="8"/>
      <c r="J44" s="8"/>
      <c r="K44" s="8"/>
      <c r="L44" s="8"/>
      <c r="N44" s="8"/>
      <c r="O44" s="8"/>
    </row>
    <row r="45" spans="1:15" x14ac:dyDescent="0.2">
      <c r="A45" s="8"/>
      <c r="B45" s="8"/>
      <c r="C45" s="8"/>
      <c r="D45" s="8"/>
      <c r="E45" s="8"/>
      <c r="F45" s="8"/>
      <c r="G45" s="8"/>
      <c r="I45" s="8"/>
      <c r="J45" s="8"/>
      <c r="K45" s="8"/>
      <c r="L45" s="8"/>
      <c r="N45" s="8"/>
      <c r="O45" s="8"/>
    </row>
    <row r="46" spans="1:15" x14ac:dyDescent="0.2">
      <c r="A46" s="8"/>
      <c r="B46" s="8"/>
      <c r="C46" s="8"/>
      <c r="D46" s="8"/>
      <c r="E46" s="8"/>
      <c r="F46" s="8"/>
      <c r="G46" s="8"/>
      <c r="I46" s="8"/>
      <c r="J46" s="8"/>
      <c r="K46" s="8"/>
      <c r="L46" s="8"/>
      <c r="N46" s="8"/>
      <c r="O46" s="8"/>
    </row>
    <row r="47" spans="1:15" x14ac:dyDescent="0.2">
      <c r="A47" s="8"/>
      <c r="B47" s="8"/>
      <c r="C47" s="8"/>
      <c r="D47" s="8"/>
      <c r="E47" s="8"/>
      <c r="F47" s="8"/>
      <c r="G47" s="8"/>
      <c r="I47" s="8"/>
      <c r="J47" s="8"/>
      <c r="K47" s="8"/>
      <c r="L47" s="8"/>
      <c r="N47" s="8"/>
      <c r="O47" s="8"/>
    </row>
    <row r="48" spans="1:15" x14ac:dyDescent="0.2">
      <c r="A48" s="8"/>
      <c r="B48" s="8"/>
      <c r="C48" s="8"/>
      <c r="D48" s="8"/>
      <c r="E48" s="8"/>
      <c r="F48" s="8"/>
      <c r="G48" s="8"/>
      <c r="I48" s="8"/>
      <c r="J48" s="8"/>
      <c r="K48" s="8"/>
      <c r="L48" s="8"/>
      <c r="N48" s="8"/>
      <c r="O48" s="8"/>
    </row>
    <row r="49" spans="1:15" x14ac:dyDescent="0.2">
      <c r="A49" s="8"/>
      <c r="B49" s="8"/>
      <c r="C49" s="8"/>
      <c r="D49" s="8"/>
      <c r="E49" s="8"/>
      <c r="F49" s="8"/>
      <c r="G49" s="8"/>
      <c r="I49" s="8"/>
      <c r="J49" s="8"/>
      <c r="K49" s="8"/>
      <c r="L49" s="8"/>
      <c r="N49" s="8"/>
      <c r="O49" s="8"/>
    </row>
    <row r="50" spans="1:15" x14ac:dyDescent="0.2">
      <c r="A50" s="8"/>
      <c r="B50" s="8"/>
      <c r="C50" s="8"/>
      <c r="D50" s="8"/>
      <c r="E50" s="8"/>
      <c r="F50" s="8"/>
      <c r="G50" s="8"/>
      <c r="I50" s="8"/>
      <c r="J50" s="8"/>
      <c r="K50" s="8"/>
      <c r="L50" s="8"/>
      <c r="N50" s="8"/>
      <c r="O50" s="8"/>
    </row>
    <row r="51" spans="1:15" x14ac:dyDescent="0.2">
      <c r="A51" s="8"/>
      <c r="B51" s="8"/>
      <c r="C51" s="8"/>
      <c r="D51" s="8"/>
      <c r="E51" s="8"/>
      <c r="F51" s="8"/>
      <c r="G51" s="8"/>
      <c r="I51" s="8"/>
      <c r="J51" s="8"/>
      <c r="K51" s="8"/>
      <c r="L51" s="8"/>
      <c r="N51" s="8"/>
      <c r="O51" s="8"/>
    </row>
    <row r="52" spans="1:15" x14ac:dyDescent="0.2">
      <c r="A52" s="8"/>
      <c r="B52" s="8"/>
      <c r="C52" s="8"/>
      <c r="D52" s="8"/>
      <c r="E52" s="8"/>
      <c r="F52" s="8"/>
      <c r="G52" s="8"/>
      <c r="I52" s="8"/>
      <c r="J52" s="8"/>
      <c r="K52" s="8"/>
      <c r="L52" s="8"/>
      <c r="N52" s="8"/>
      <c r="O52" s="8"/>
    </row>
    <row r="53" spans="1:15" x14ac:dyDescent="0.2">
      <c r="A53" s="8"/>
      <c r="B53" s="8"/>
      <c r="C53" s="8"/>
      <c r="D53" s="8"/>
      <c r="E53" s="8"/>
      <c r="F53" s="8"/>
      <c r="G53" s="8"/>
      <c r="I53" s="8"/>
      <c r="J53" s="8"/>
      <c r="K53" s="8"/>
      <c r="L53" s="8"/>
      <c r="N53" s="8"/>
      <c r="O53" s="8"/>
    </row>
    <row r="54" spans="1:15" x14ac:dyDescent="0.2">
      <c r="A54" s="8"/>
      <c r="B54" s="8"/>
      <c r="C54" s="8"/>
      <c r="D54" s="8"/>
      <c r="E54" s="8"/>
      <c r="F54" s="8"/>
      <c r="G54" s="8"/>
      <c r="I54" s="8"/>
      <c r="J54" s="8"/>
      <c r="K54" s="8"/>
      <c r="L54" s="8"/>
      <c r="N54" s="8"/>
      <c r="O54" s="8"/>
    </row>
    <row r="55" spans="1:15" x14ac:dyDescent="0.2">
      <c r="A55" s="8"/>
      <c r="B55" s="8"/>
      <c r="C55" s="8"/>
      <c r="D55" s="8"/>
      <c r="E55" s="8"/>
      <c r="F55" s="8"/>
      <c r="G55" s="8"/>
      <c r="I55" s="8"/>
      <c r="J55" s="8"/>
      <c r="K55" s="8"/>
      <c r="L55" s="8"/>
      <c r="N55" s="8"/>
      <c r="O55" s="8"/>
    </row>
    <row r="56" spans="1:15" x14ac:dyDescent="0.2">
      <c r="A56" s="8"/>
      <c r="B56" s="8"/>
      <c r="C56" s="8"/>
      <c r="D56" s="8"/>
      <c r="E56" s="8"/>
      <c r="F56" s="8"/>
      <c r="G56" s="8"/>
      <c r="I56" s="8"/>
      <c r="J56" s="8"/>
      <c r="K56" s="8"/>
      <c r="L56" s="8"/>
      <c r="N56" s="8"/>
      <c r="O56" s="8"/>
    </row>
    <row r="57" spans="1:15" x14ac:dyDescent="0.2">
      <c r="A57" s="8"/>
      <c r="B57" s="8"/>
      <c r="C57" s="8"/>
      <c r="D57" s="8"/>
      <c r="E57" s="8"/>
      <c r="F57" s="8"/>
      <c r="G57" s="8"/>
      <c r="I57" s="8"/>
      <c r="J57" s="8"/>
      <c r="K57" s="8"/>
      <c r="L57" s="8"/>
      <c r="N57" s="8"/>
      <c r="O57" s="8"/>
    </row>
    <row r="58" spans="1:15" x14ac:dyDescent="0.2">
      <c r="A58" s="8"/>
      <c r="B58" s="8"/>
      <c r="C58" s="8"/>
      <c r="D58" s="8"/>
      <c r="E58" s="8"/>
      <c r="F58" s="8"/>
      <c r="G58" s="8"/>
      <c r="I58" s="8"/>
      <c r="J58" s="8"/>
      <c r="K58" s="8"/>
      <c r="L58" s="8"/>
      <c r="N58" s="8"/>
      <c r="O58" s="8"/>
    </row>
    <row r="59" spans="1:15" x14ac:dyDescent="0.2">
      <c r="A59" s="8"/>
      <c r="B59" s="8"/>
      <c r="C59" s="8"/>
      <c r="D59" s="8"/>
      <c r="E59" s="8"/>
      <c r="F59" s="8"/>
      <c r="G59" s="8"/>
      <c r="I59" s="8"/>
      <c r="J59" s="8"/>
      <c r="K59" s="8"/>
      <c r="L59" s="8"/>
      <c r="N59" s="8"/>
      <c r="O59" s="8"/>
    </row>
    <row r="60" spans="1:15" x14ac:dyDescent="0.2">
      <c r="A60" s="8"/>
      <c r="B60" s="8"/>
      <c r="C60" s="8"/>
      <c r="D60" s="8"/>
      <c r="E60" s="8"/>
      <c r="F60" s="8"/>
      <c r="G60" s="8"/>
      <c r="I60" s="8"/>
      <c r="J60" s="8"/>
      <c r="K60" s="8"/>
      <c r="L60" s="8"/>
      <c r="N60" s="8"/>
      <c r="O60" s="8"/>
    </row>
    <row r="61" spans="1:15" x14ac:dyDescent="0.2">
      <c r="A61" s="8"/>
      <c r="B61" s="8"/>
      <c r="C61" s="8"/>
      <c r="D61" s="8"/>
      <c r="E61" s="8"/>
      <c r="F61" s="8"/>
      <c r="G61" s="8"/>
      <c r="I61" s="8"/>
      <c r="J61" s="8"/>
      <c r="K61" s="8"/>
      <c r="L61" s="8"/>
      <c r="N61" s="8"/>
      <c r="O61" s="8"/>
    </row>
    <row r="62" spans="1:15" x14ac:dyDescent="0.2">
      <c r="A62" s="8"/>
      <c r="B62" s="8"/>
      <c r="C62" s="8"/>
      <c r="D62" s="8"/>
      <c r="E62" s="8"/>
      <c r="F62" s="8"/>
      <c r="G62" s="8"/>
      <c r="I62" s="8"/>
      <c r="J62" s="8"/>
      <c r="K62" s="8"/>
      <c r="L62" s="8"/>
      <c r="N62" s="8"/>
      <c r="O62" s="8"/>
    </row>
    <row r="63" spans="1:15" x14ac:dyDescent="0.2">
      <c r="A63" s="8"/>
      <c r="B63" s="8"/>
      <c r="C63" s="8"/>
      <c r="D63" s="8"/>
      <c r="E63" s="8"/>
      <c r="F63" s="8"/>
      <c r="G63" s="8"/>
      <c r="I63" s="8"/>
      <c r="J63" s="8"/>
      <c r="K63" s="8"/>
      <c r="L63" s="8"/>
      <c r="N63" s="8"/>
      <c r="O63" s="8"/>
    </row>
    <row r="64" spans="1:15" x14ac:dyDescent="0.2">
      <c r="A64" s="8"/>
      <c r="B64" s="8"/>
      <c r="C64" s="8"/>
      <c r="D64" s="8"/>
      <c r="E64" s="8"/>
      <c r="F64" s="8"/>
      <c r="G64" s="8"/>
      <c r="I64" s="8"/>
      <c r="J64" s="8"/>
      <c r="K64" s="8"/>
      <c r="L64" s="8"/>
      <c r="N64" s="8"/>
      <c r="O64" s="8"/>
    </row>
    <row r="65" spans="1:15" x14ac:dyDescent="0.2">
      <c r="A65" s="8"/>
      <c r="B65" s="8"/>
      <c r="C65" s="8"/>
      <c r="D65" s="8"/>
      <c r="E65" s="8"/>
      <c r="F65" s="8"/>
      <c r="G65" s="8"/>
      <c r="I65" s="8"/>
      <c r="J65" s="8"/>
      <c r="K65" s="8"/>
      <c r="L65" s="8"/>
      <c r="N65" s="8"/>
      <c r="O65" s="8"/>
    </row>
    <row r="66" spans="1:15" x14ac:dyDescent="0.2">
      <c r="A66" s="8"/>
      <c r="B66" s="8"/>
      <c r="C66" s="8"/>
      <c r="D66" s="8"/>
      <c r="E66" s="8"/>
      <c r="F66" s="8"/>
      <c r="G66" s="8"/>
      <c r="I66" s="8"/>
      <c r="J66" s="8"/>
      <c r="K66" s="8"/>
      <c r="L66" s="8"/>
      <c r="N66" s="8"/>
      <c r="O66" s="8"/>
    </row>
    <row r="67" spans="1:15" x14ac:dyDescent="0.2">
      <c r="A67" s="8"/>
      <c r="B67" s="8"/>
      <c r="C67" s="8"/>
      <c r="D67" s="8"/>
      <c r="E67" s="8"/>
      <c r="F67" s="8"/>
      <c r="G67" s="8"/>
      <c r="I67" s="8"/>
      <c r="J67" s="8"/>
      <c r="K67" s="8"/>
      <c r="L67" s="8"/>
      <c r="N67" s="8"/>
      <c r="O67" s="8"/>
    </row>
    <row r="68" spans="1:15" x14ac:dyDescent="0.2">
      <c r="A68" s="8"/>
      <c r="B68" s="8"/>
      <c r="C68" s="8"/>
      <c r="D68" s="8"/>
      <c r="E68" s="8"/>
      <c r="F68" s="8"/>
      <c r="G68" s="8"/>
      <c r="I68" s="8"/>
      <c r="J68" s="8"/>
      <c r="K68" s="8"/>
      <c r="L68" s="8"/>
      <c r="N68" s="8"/>
      <c r="O68" s="8"/>
    </row>
    <row r="69" spans="1:15" x14ac:dyDescent="0.2">
      <c r="A69" s="8"/>
      <c r="B69" s="8"/>
      <c r="C69" s="8"/>
      <c r="D69" s="8"/>
      <c r="E69" s="8"/>
      <c r="F69" s="8"/>
      <c r="G69" s="8"/>
      <c r="I69" s="8"/>
      <c r="J69" s="8"/>
      <c r="K69" s="8"/>
      <c r="L69" s="8"/>
      <c r="N69" s="8"/>
      <c r="O69" s="8"/>
    </row>
    <row r="70" spans="1:15" x14ac:dyDescent="0.2">
      <c r="A70" s="8"/>
      <c r="B70" s="8"/>
      <c r="C70" s="8"/>
      <c r="D70" s="8"/>
      <c r="E70" s="8"/>
      <c r="F70" s="8"/>
      <c r="G70" s="8"/>
      <c r="I70" s="8"/>
      <c r="J70" s="8"/>
      <c r="K70" s="8"/>
      <c r="L70" s="8"/>
      <c r="N70" s="8"/>
      <c r="O70" s="8"/>
    </row>
    <row r="71" spans="1:15" x14ac:dyDescent="0.2">
      <c r="A71" s="8"/>
      <c r="B71" s="8"/>
      <c r="C71" s="8"/>
      <c r="D71" s="8"/>
      <c r="E71" s="8"/>
      <c r="F71" s="8"/>
      <c r="G71" s="8"/>
      <c r="I71" s="8"/>
      <c r="J71" s="8"/>
      <c r="K71" s="8"/>
      <c r="L71" s="8"/>
      <c r="N71" s="8"/>
      <c r="O71" s="8"/>
    </row>
    <row r="72" spans="1:15" x14ac:dyDescent="0.2">
      <c r="A72" s="8"/>
      <c r="B72" s="8"/>
      <c r="C72" s="8"/>
      <c r="D72" s="8"/>
      <c r="E72" s="8"/>
      <c r="F72" s="8"/>
      <c r="G72" s="8"/>
      <c r="I72" s="8"/>
      <c r="J72" s="8"/>
      <c r="K72" s="8"/>
      <c r="L72" s="8"/>
      <c r="N72" s="8"/>
      <c r="O72" s="8"/>
    </row>
    <row r="73" spans="1:15" x14ac:dyDescent="0.2">
      <c r="A73" s="8"/>
      <c r="B73" s="8"/>
      <c r="C73" s="8"/>
      <c r="D73" s="8"/>
      <c r="E73" s="8"/>
      <c r="F73" s="8"/>
      <c r="G73" s="8"/>
      <c r="I73" s="8"/>
      <c r="J73" s="8"/>
      <c r="K73" s="8"/>
      <c r="L73" s="8"/>
      <c r="N73" s="8"/>
      <c r="O73" s="8"/>
    </row>
    <row r="74" spans="1:15" x14ac:dyDescent="0.2">
      <c r="A74" s="8"/>
      <c r="B74" s="8"/>
      <c r="C74" s="8"/>
      <c r="D74" s="8"/>
      <c r="E74" s="8"/>
      <c r="F74" s="8"/>
      <c r="G74" s="8"/>
      <c r="I74" s="8"/>
      <c r="J74" s="8"/>
      <c r="K74" s="8"/>
      <c r="L74" s="8"/>
      <c r="N74" s="8"/>
      <c r="O74" s="8"/>
    </row>
    <row r="75" spans="1:15" x14ac:dyDescent="0.2">
      <c r="A75" s="8"/>
      <c r="B75" s="8"/>
      <c r="C75" s="8"/>
      <c r="D75" s="8"/>
      <c r="E75" s="8"/>
      <c r="F75" s="8"/>
      <c r="G75" s="8"/>
      <c r="I75" s="8"/>
      <c r="J75" s="8"/>
      <c r="K75" s="8"/>
      <c r="L75" s="8"/>
      <c r="N75" s="8"/>
      <c r="O75" s="8"/>
    </row>
    <row r="76" spans="1:15" x14ac:dyDescent="0.2">
      <c r="A76" s="8"/>
      <c r="B76" s="8"/>
      <c r="C76" s="8"/>
      <c r="D76" s="8"/>
      <c r="E76" s="8"/>
      <c r="F76" s="8"/>
      <c r="G76" s="8"/>
      <c r="I76" s="8"/>
      <c r="J76" s="8"/>
      <c r="K76" s="8"/>
      <c r="L76" s="8"/>
      <c r="N76" s="8"/>
      <c r="O76" s="8"/>
    </row>
    <row r="77" spans="1:15" x14ac:dyDescent="0.2">
      <c r="A77" s="8"/>
      <c r="B77" s="8"/>
      <c r="C77" s="8"/>
      <c r="D77" s="8"/>
      <c r="E77" s="8"/>
      <c r="F77" s="8"/>
      <c r="G77" s="8"/>
      <c r="I77" s="8"/>
      <c r="J77" s="8"/>
      <c r="K77" s="8"/>
      <c r="L77" s="8"/>
      <c r="N77" s="8"/>
      <c r="O77" s="8"/>
    </row>
    <row r="78" spans="1:15" x14ac:dyDescent="0.2">
      <c r="A78" s="8"/>
      <c r="B78" s="8"/>
      <c r="C78" s="8"/>
      <c r="D78" s="8"/>
      <c r="E78" s="8"/>
      <c r="F78" s="8"/>
      <c r="G78" s="8"/>
      <c r="I78" s="8"/>
      <c r="J78" s="8"/>
      <c r="K78" s="8"/>
      <c r="L78" s="8"/>
      <c r="N78" s="8"/>
      <c r="O78" s="8"/>
    </row>
    <row r="79" spans="1:15" x14ac:dyDescent="0.2">
      <c r="A79" s="8"/>
      <c r="B79" s="8"/>
      <c r="C79" s="8"/>
      <c r="D79" s="8"/>
      <c r="E79" s="8"/>
      <c r="F79" s="8"/>
      <c r="G79" s="8"/>
      <c r="I79" s="8"/>
      <c r="J79" s="8"/>
      <c r="K79" s="8"/>
      <c r="L79" s="8"/>
      <c r="N79" s="8"/>
      <c r="O79" s="8"/>
    </row>
    <row r="80" spans="1:15" x14ac:dyDescent="0.2">
      <c r="A80" s="8"/>
      <c r="B80" s="8"/>
      <c r="C80" s="8"/>
      <c r="D80" s="8"/>
      <c r="E80" s="8"/>
      <c r="F80" s="8"/>
      <c r="G80" s="8"/>
      <c r="I80" s="8"/>
      <c r="J80" s="8"/>
      <c r="K80" s="8"/>
      <c r="L80" s="8"/>
      <c r="N80" s="8"/>
      <c r="O80" s="8"/>
    </row>
    <row r="81" spans="1:15" x14ac:dyDescent="0.2">
      <c r="A81" s="8"/>
      <c r="B81" s="8"/>
      <c r="C81" s="8"/>
      <c r="D81" s="8"/>
      <c r="E81" s="8"/>
      <c r="F81" s="8"/>
      <c r="G81" s="8"/>
      <c r="I81" s="8"/>
      <c r="J81" s="8"/>
      <c r="K81" s="8"/>
      <c r="L81" s="8"/>
      <c r="N81" s="8"/>
      <c r="O81" s="8"/>
    </row>
    <row r="82" spans="1:15" x14ac:dyDescent="0.2">
      <c r="A82" s="8"/>
      <c r="B82" s="8"/>
      <c r="C82" s="8"/>
      <c r="D82" s="8"/>
      <c r="E82" s="8"/>
      <c r="F82" s="8"/>
      <c r="G82" s="8"/>
      <c r="I82" s="8"/>
      <c r="J82" s="8"/>
      <c r="K82" s="8"/>
      <c r="L82" s="8"/>
      <c r="N82" s="8"/>
      <c r="O82" s="8"/>
    </row>
    <row r="83" spans="1:15" x14ac:dyDescent="0.2">
      <c r="A83" s="8"/>
      <c r="B83" s="8"/>
      <c r="C83" s="8"/>
      <c r="D83" s="8"/>
      <c r="E83" s="8"/>
      <c r="F83" s="8"/>
      <c r="G83" s="8"/>
      <c r="I83" s="8"/>
      <c r="J83" s="8"/>
      <c r="K83" s="8"/>
      <c r="L83" s="8"/>
      <c r="N83" s="8"/>
      <c r="O83" s="8"/>
    </row>
    <row r="84" spans="1:15" x14ac:dyDescent="0.2">
      <c r="A84" s="8"/>
      <c r="B84" s="8"/>
      <c r="C84" s="8"/>
      <c r="D84" s="8"/>
      <c r="E84" s="8"/>
      <c r="F84" s="8"/>
      <c r="G84" s="8"/>
      <c r="I84" s="8"/>
      <c r="J84" s="8"/>
      <c r="K84" s="8"/>
      <c r="L84" s="8"/>
      <c r="N84" s="8"/>
      <c r="O84" s="8"/>
    </row>
    <row r="85" spans="1:15" x14ac:dyDescent="0.2">
      <c r="A85" s="8"/>
      <c r="B85" s="8"/>
      <c r="C85" s="8"/>
      <c r="D85" s="8"/>
      <c r="E85" s="8"/>
      <c r="F85" s="8"/>
      <c r="G85" s="8"/>
      <c r="I85" s="8"/>
      <c r="J85" s="8"/>
      <c r="K85" s="8"/>
      <c r="L85" s="8"/>
      <c r="N85" s="8"/>
      <c r="O85" s="8"/>
    </row>
    <row r="86" spans="1:15" x14ac:dyDescent="0.2">
      <c r="A86" s="8"/>
      <c r="B86" s="8"/>
      <c r="C86" s="8"/>
      <c r="D86" s="8"/>
      <c r="E86" s="8"/>
      <c r="F86" s="8"/>
      <c r="G86" s="8"/>
      <c r="I86" s="8"/>
      <c r="J86" s="8"/>
      <c r="K86" s="8"/>
      <c r="L86" s="8"/>
      <c r="N86" s="8"/>
      <c r="O86" s="8"/>
    </row>
    <row r="87" spans="1:15" x14ac:dyDescent="0.2">
      <c r="A87" s="8"/>
      <c r="B87" s="8"/>
      <c r="C87" s="8"/>
      <c r="D87" s="8"/>
      <c r="E87" s="8"/>
      <c r="F87" s="8"/>
      <c r="G87" s="8"/>
      <c r="I87" s="8"/>
      <c r="J87" s="8"/>
      <c r="K87" s="8"/>
      <c r="L87" s="8"/>
      <c r="N87" s="8"/>
      <c r="O87" s="8"/>
    </row>
    <row r="88" spans="1:15" x14ac:dyDescent="0.2">
      <c r="A88" s="8"/>
      <c r="B88" s="8"/>
      <c r="C88" s="8"/>
      <c r="D88" s="8"/>
      <c r="E88" s="8"/>
      <c r="F88" s="8"/>
      <c r="G88" s="8"/>
      <c r="I88" s="8"/>
      <c r="J88" s="8"/>
      <c r="K88" s="8"/>
      <c r="L88" s="8"/>
      <c r="N88" s="8"/>
      <c r="O88" s="8"/>
    </row>
    <row r="89" spans="1:15" x14ac:dyDescent="0.2">
      <c r="A89" s="8"/>
      <c r="B89" s="8"/>
      <c r="C89" s="8"/>
      <c r="D89" s="8"/>
      <c r="E89" s="8"/>
      <c r="F89" s="8"/>
      <c r="G89" s="8"/>
      <c r="I89" s="8"/>
      <c r="J89" s="8"/>
      <c r="K89" s="8"/>
      <c r="L89" s="8"/>
      <c r="N89" s="8"/>
      <c r="O89" s="8"/>
    </row>
    <row r="90" spans="1:15" x14ac:dyDescent="0.2">
      <c r="A90" s="8"/>
      <c r="B90" s="8"/>
      <c r="C90" s="8"/>
      <c r="D90" s="8"/>
      <c r="E90" s="8"/>
      <c r="F90" s="8"/>
      <c r="G90" s="8"/>
      <c r="I90" s="8"/>
      <c r="J90" s="8"/>
      <c r="K90" s="8"/>
      <c r="L90" s="8"/>
      <c r="N90" s="8"/>
      <c r="O90" s="8"/>
    </row>
    <row r="91" spans="1:15" x14ac:dyDescent="0.2">
      <c r="A91" s="8"/>
      <c r="B91" s="8"/>
      <c r="C91" s="8"/>
      <c r="D91" s="8"/>
      <c r="E91" s="8"/>
      <c r="F91" s="8"/>
      <c r="G91" s="8"/>
      <c r="I91" s="8"/>
      <c r="J91" s="8"/>
      <c r="K91" s="8"/>
      <c r="L91" s="8"/>
      <c r="N91" s="8"/>
      <c r="O91" s="8"/>
    </row>
    <row r="92" spans="1:15" x14ac:dyDescent="0.2">
      <c r="A92" s="8"/>
      <c r="B92" s="8"/>
      <c r="C92" s="8"/>
      <c r="D92" s="8"/>
      <c r="E92" s="8"/>
      <c r="F92" s="8"/>
      <c r="G92" s="8"/>
      <c r="I92" s="8"/>
      <c r="J92" s="8"/>
      <c r="K92" s="8"/>
      <c r="L92" s="8"/>
      <c r="N92" s="8"/>
      <c r="O92" s="8"/>
    </row>
    <row r="93" spans="1:15" x14ac:dyDescent="0.2">
      <c r="A93" s="8"/>
      <c r="B93" s="8"/>
      <c r="C93" s="8"/>
      <c r="D93" s="8"/>
      <c r="E93" s="8"/>
      <c r="F93" s="8"/>
      <c r="G93" s="8"/>
      <c r="I93" s="8"/>
      <c r="J93" s="8"/>
      <c r="K93" s="8"/>
      <c r="L93" s="8"/>
      <c r="N93" s="8"/>
      <c r="O93" s="8"/>
    </row>
    <row r="94" spans="1:15" x14ac:dyDescent="0.2">
      <c r="A94" s="8"/>
      <c r="B94" s="8"/>
      <c r="C94" s="8"/>
      <c r="D94" s="8"/>
      <c r="E94" s="8"/>
      <c r="F94" s="8"/>
      <c r="G94" s="8"/>
      <c r="I94" s="8"/>
      <c r="J94" s="8"/>
      <c r="K94" s="8"/>
      <c r="L94" s="8"/>
      <c r="N94" s="8"/>
      <c r="O94" s="8"/>
    </row>
    <row r="95" spans="1:15" x14ac:dyDescent="0.2">
      <c r="A95" s="8"/>
      <c r="B95" s="8"/>
      <c r="C95" s="8"/>
      <c r="D95" s="8"/>
      <c r="E95" s="8"/>
      <c r="F95" s="8"/>
      <c r="G95" s="8"/>
      <c r="I95" s="8"/>
      <c r="J95" s="8"/>
      <c r="K95" s="8"/>
      <c r="L95" s="8"/>
      <c r="N95" s="8"/>
      <c r="O95" s="8"/>
    </row>
    <row r="96" spans="1:15" x14ac:dyDescent="0.2">
      <c r="A96" s="8"/>
      <c r="B96" s="8"/>
      <c r="C96" s="8"/>
      <c r="D96" s="8"/>
      <c r="E96" s="8"/>
      <c r="F96" s="8"/>
      <c r="G96" s="8"/>
      <c r="I96" s="8"/>
      <c r="J96" s="8"/>
      <c r="K96" s="8"/>
      <c r="L96" s="8"/>
      <c r="N96" s="8"/>
      <c r="O96" s="8"/>
    </row>
    <row r="97" spans="1:16" x14ac:dyDescent="0.2">
      <c r="A97" s="8"/>
      <c r="B97" s="8"/>
      <c r="C97" s="8"/>
      <c r="D97" s="8"/>
      <c r="E97" s="8"/>
      <c r="F97" s="8"/>
      <c r="G97" s="8"/>
      <c r="I97" s="8"/>
      <c r="J97" s="8"/>
      <c r="K97" s="8"/>
      <c r="L97" s="8"/>
      <c r="N97" s="8"/>
      <c r="O97" s="8"/>
    </row>
    <row r="98" spans="1:16" x14ac:dyDescent="0.2">
      <c r="A98" s="8"/>
      <c r="B98" s="8"/>
      <c r="C98" s="8"/>
      <c r="D98" s="8"/>
      <c r="E98" s="8"/>
      <c r="F98" s="8"/>
      <c r="G98" s="8"/>
      <c r="I98" s="8"/>
      <c r="J98" s="8"/>
      <c r="K98" s="8"/>
      <c r="L98" s="8"/>
      <c r="N98" s="8"/>
      <c r="O98" s="8"/>
      <c r="P98" s="12"/>
    </row>
    <row r="99" spans="1:16" x14ac:dyDescent="0.2">
      <c r="A99" s="8"/>
      <c r="B99" s="8"/>
      <c r="C99" s="8"/>
      <c r="D99" s="8"/>
      <c r="E99" s="8"/>
      <c r="F99" s="8"/>
      <c r="G99" s="8"/>
      <c r="I99" s="8"/>
      <c r="J99" s="8"/>
      <c r="K99" s="8"/>
      <c r="L99" s="8"/>
      <c r="N99" s="8"/>
      <c r="O99" s="8"/>
      <c r="P99" s="12"/>
    </row>
    <row r="100" spans="1:16" x14ac:dyDescent="0.2">
      <c r="A100" s="8"/>
      <c r="B100" s="8"/>
      <c r="C100" s="8"/>
      <c r="D100" s="8"/>
      <c r="E100" s="8"/>
      <c r="F100" s="8"/>
      <c r="G100" s="8"/>
      <c r="I100" s="8"/>
      <c r="J100" s="8"/>
      <c r="K100" s="8"/>
      <c r="L100" s="8"/>
      <c r="N100" s="8"/>
      <c r="O100" s="8"/>
      <c r="P100" s="12"/>
    </row>
    <row r="101" spans="1:16" x14ac:dyDescent="0.2">
      <c r="A101" s="8"/>
      <c r="B101" s="8"/>
      <c r="C101" s="8"/>
      <c r="D101" s="8"/>
      <c r="E101" s="8"/>
      <c r="F101" s="8"/>
      <c r="G101" s="8"/>
      <c r="I101" s="8"/>
      <c r="J101" s="8"/>
      <c r="K101" s="8"/>
      <c r="L101" s="8"/>
      <c r="N101" s="8"/>
      <c r="O101" s="8"/>
      <c r="P101" s="12"/>
    </row>
    <row r="102" spans="1:16" x14ac:dyDescent="0.2">
      <c r="A102" s="8"/>
      <c r="B102" s="8"/>
      <c r="C102" s="8"/>
      <c r="D102" s="8"/>
      <c r="E102" s="8"/>
      <c r="F102" s="8"/>
      <c r="G102" s="8"/>
      <c r="I102" s="8"/>
      <c r="J102" s="8"/>
      <c r="K102" s="8"/>
      <c r="L102" s="8"/>
      <c r="N102" s="8"/>
      <c r="O102" s="8"/>
    </row>
    <row r="103" spans="1:16" x14ac:dyDescent="0.2">
      <c r="A103" s="8"/>
      <c r="B103" s="8"/>
      <c r="C103" s="8"/>
      <c r="D103" s="8"/>
      <c r="E103" s="8"/>
      <c r="F103" s="8"/>
      <c r="G103" s="8"/>
      <c r="I103" s="8"/>
      <c r="J103" s="8"/>
      <c r="K103" s="8"/>
      <c r="L103" s="8"/>
      <c r="N103" s="8"/>
      <c r="O103" s="8"/>
    </row>
    <row r="104" spans="1:16" x14ac:dyDescent="0.2">
      <c r="A104" s="8"/>
      <c r="B104" s="8"/>
      <c r="C104" s="8"/>
      <c r="D104" s="8"/>
      <c r="E104" s="8"/>
      <c r="F104" s="8"/>
      <c r="G104" s="8"/>
      <c r="I104" s="8"/>
      <c r="J104" s="8"/>
      <c r="K104" s="8"/>
      <c r="L104" s="8"/>
      <c r="N104" s="8"/>
      <c r="O104" s="8"/>
    </row>
    <row r="105" spans="1:16" x14ac:dyDescent="0.2">
      <c r="A105" s="8"/>
      <c r="B105" s="8"/>
      <c r="C105" s="8"/>
      <c r="D105" s="8"/>
      <c r="E105" s="8"/>
      <c r="F105" s="8"/>
      <c r="G105" s="8"/>
      <c r="H105" s="12"/>
      <c r="I105" s="8"/>
      <c r="J105" s="8"/>
      <c r="K105" s="8"/>
      <c r="L105" s="8"/>
      <c r="N105" s="8"/>
      <c r="O105" s="8"/>
    </row>
    <row r="106" spans="1:16" x14ac:dyDescent="0.2">
      <c r="A106" s="8"/>
      <c r="B106" s="8"/>
      <c r="C106" s="8"/>
      <c r="D106" s="8"/>
      <c r="E106" s="8"/>
      <c r="F106" s="8"/>
      <c r="G106" s="8"/>
      <c r="I106" s="8"/>
      <c r="J106" s="8"/>
      <c r="K106" s="8"/>
      <c r="L106" s="8"/>
      <c r="N106" s="8"/>
      <c r="O106" s="8"/>
    </row>
    <row r="107" spans="1:16" x14ac:dyDescent="0.2">
      <c r="A107" s="8"/>
      <c r="B107" s="8"/>
      <c r="C107" s="8"/>
      <c r="D107" s="8"/>
      <c r="E107" s="8"/>
      <c r="F107" s="8"/>
      <c r="G107" s="8"/>
      <c r="I107" s="8"/>
      <c r="J107" s="8"/>
      <c r="K107" s="8"/>
      <c r="L107" s="8"/>
      <c r="N107" s="8"/>
      <c r="O107" s="8"/>
    </row>
    <row r="108" spans="1:16" x14ac:dyDescent="0.2">
      <c r="A108" s="8"/>
      <c r="B108" s="8"/>
      <c r="C108" s="8"/>
      <c r="D108" s="8"/>
      <c r="E108" s="8"/>
      <c r="F108" s="8"/>
      <c r="G108" s="8"/>
      <c r="I108" s="8"/>
      <c r="J108" s="8"/>
      <c r="K108" s="8"/>
      <c r="L108" s="8"/>
      <c r="N108" s="8"/>
      <c r="O108" s="8"/>
    </row>
    <row r="109" spans="1:16" x14ac:dyDescent="0.2">
      <c r="A109" s="8"/>
      <c r="B109" s="8"/>
      <c r="C109" s="8"/>
      <c r="D109" s="8"/>
      <c r="E109" s="8"/>
      <c r="F109" s="8"/>
      <c r="G109" s="8"/>
      <c r="I109" s="8"/>
      <c r="J109" s="8"/>
      <c r="K109" s="8"/>
      <c r="L109" s="8"/>
      <c r="N109" s="8"/>
      <c r="O109" s="8"/>
    </row>
    <row r="110" spans="1:16" x14ac:dyDescent="0.2">
      <c r="A110" s="8"/>
      <c r="B110" s="8"/>
      <c r="C110" s="8"/>
      <c r="D110" s="8"/>
      <c r="E110" s="8"/>
      <c r="F110" s="8"/>
      <c r="G110" s="8"/>
      <c r="I110" s="8"/>
      <c r="J110" s="8"/>
      <c r="K110" s="8"/>
      <c r="L110" s="8"/>
      <c r="N110" s="8"/>
      <c r="O110" s="8"/>
    </row>
    <row r="111" spans="1:16" x14ac:dyDescent="0.2">
      <c r="A111" s="8"/>
      <c r="B111" s="8"/>
      <c r="C111" s="8"/>
      <c r="D111" s="8"/>
      <c r="E111" s="8"/>
      <c r="F111" s="8"/>
      <c r="G111" s="8"/>
      <c r="I111" s="8"/>
      <c r="J111" s="8"/>
      <c r="K111" s="8"/>
      <c r="L111" s="8"/>
      <c r="N111" s="8"/>
      <c r="O111" s="8"/>
    </row>
    <row r="112" spans="1:16" x14ac:dyDescent="0.2">
      <c r="A112" s="8"/>
      <c r="B112" s="8"/>
      <c r="C112" s="8"/>
      <c r="D112" s="8"/>
      <c r="E112" s="8"/>
      <c r="F112" s="8"/>
      <c r="G112" s="8"/>
      <c r="I112" s="8"/>
      <c r="J112" s="8"/>
      <c r="K112" s="8"/>
      <c r="L112" s="8"/>
      <c r="N112" s="8"/>
      <c r="O112" s="8"/>
    </row>
    <row r="113" spans="1:16" x14ac:dyDescent="0.2">
      <c r="A113" s="8"/>
      <c r="B113" s="8"/>
      <c r="C113" s="8"/>
      <c r="D113" s="8"/>
      <c r="E113" s="8"/>
      <c r="F113" s="8"/>
      <c r="G113" s="8"/>
      <c r="I113" s="8"/>
      <c r="J113" s="8"/>
      <c r="K113" s="8"/>
      <c r="L113" s="8"/>
      <c r="N113" s="8"/>
      <c r="O113" s="8"/>
    </row>
    <row r="114" spans="1:16" x14ac:dyDescent="0.2">
      <c r="A114" s="8"/>
      <c r="B114" s="8"/>
      <c r="C114" s="8"/>
      <c r="D114" s="8"/>
      <c r="E114" s="8"/>
      <c r="F114" s="8"/>
      <c r="G114" s="8"/>
      <c r="I114" s="8"/>
      <c r="J114" s="8"/>
      <c r="K114" s="8"/>
      <c r="L114" s="8"/>
      <c r="N114" s="8"/>
      <c r="O114" s="8"/>
    </row>
    <row r="115" spans="1:16" x14ac:dyDescent="0.2">
      <c r="A115" s="8"/>
      <c r="B115" s="8"/>
      <c r="C115" s="8"/>
      <c r="D115" s="8"/>
      <c r="E115" s="8"/>
      <c r="F115" s="8"/>
      <c r="G115" s="8"/>
      <c r="I115" s="8"/>
      <c r="J115" s="8"/>
      <c r="K115" s="8"/>
      <c r="L115" s="8"/>
      <c r="N115" s="8"/>
      <c r="O115" s="8"/>
    </row>
    <row r="116" spans="1:16" x14ac:dyDescent="0.2">
      <c r="A116" s="8"/>
      <c r="B116" s="8"/>
      <c r="C116" s="8"/>
      <c r="D116" s="8"/>
      <c r="E116" s="8"/>
      <c r="F116" s="8"/>
      <c r="G116" s="8"/>
      <c r="I116" s="8"/>
      <c r="J116" s="8"/>
      <c r="K116" s="8"/>
      <c r="L116" s="8"/>
      <c r="N116" s="8"/>
      <c r="O116" s="8"/>
    </row>
    <row r="117" spans="1:16" x14ac:dyDescent="0.2">
      <c r="A117" s="8"/>
      <c r="B117" s="8"/>
      <c r="C117" s="8"/>
      <c r="D117" s="8"/>
      <c r="E117" s="8"/>
      <c r="F117" s="8"/>
      <c r="G117" s="8"/>
      <c r="I117" s="8"/>
      <c r="J117" s="8"/>
      <c r="K117" s="8"/>
      <c r="L117" s="8"/>
      <c r="N117" s="8"/>
      <c r="O117" s="8"/>
    </row>
    <row r="118" spans="1:16" x14ac:dyDescent="0.2">
      <c r="A118" s="8"/>
      <c r="B118" s="8"/>
      <c r="C118" s="8"/>
      <c r="D118" s="8"/>
      <c r="E118" s="8"/>
      <c r="F118" s="8"/>
      <c r="G118" s="8"/>
      <c r="I118" s="8"/>
      <c r="J118" s="8"/>
      <c r="K118" s="8"/>
      <c r="L118" s="8"/>
      <c r="N118" s="8"/>
      <c r="O118" s="8"/>
    </row>
    <row r="119" spans="1:16" x14ac:dyDescent="0.2">
      <c r="A119" s="8"/>
      <c r="B119" s="8"/>
      <c r="C119" s="8"/>
      <c r="D119" s="8"/>
      <c r="E119" s="8"/>
      <c r="F119" s="8"/>
      <c r="G119" s="8"/>
      <c r="I119" s="8"/>
      <c r="J119" s="8"/>
      <c r="K119" s="8"/>
      <c r="L119" s="8"/>
      <c r="N119" s="8"/>
      <c r="O119" s="8"/>
    </row>
    <row r="120" spans="1:16" x14ac:dyDescent="0.2">
      <c r="A120" s="8"/>
      <c r="B120" s="8"/>
      <c r="C120" s="8"/>
      <c r="D120" s="8"/>
      <c r="E120" s="8"/>
      <c r="F120" s="8"/>
      <c r="G120" s="8"/>
      <c r="I120" s="8"/>
      <c r="J120" s="8"/>
      <c r="K120" s="8"/>
      <c r="L120" s="8"/>
      <c r="N120" s="8"/>
      <c r="O120" s="8"/>
    </row>
    <row r="121" spans="1:16" x14ac:dyDescent="0.2">
      <c r="A121" s="8"/>
      <c r="B121" s="8"/>
      <c r="C121" s="8"/>
      <c r="D121" s="8"/>
      <c r="E121" s="8"/>
      <c r="F121" s="8"/>
      <c r="G121" s="8"/>
      <c r="I121" s="8"/>
      <c r="J121" s="8"/>
      <c r="K121" s="8"/>
      <c r="L121" s="8"/>
      <c r="N121" s="8"/>
      <c r="O121" s="8"/>
    </row>
    <row r="122" spans="1:16" x14ac:dyDescent="0.2">
      <c r="A122" s="8"/>
      <c r="B122" s="8"/>
      <c r="C122" s="8"/>
      <c r="D122" s="8"/>
      <c r="E122" s="8"/>
      <c r="F122" s="8"/>
      <c r="G122" s="8"/>
      <c r="I122" s="8"/>
      <c r="J122" s="8"/>
      <c r="K122" s="8"/>
      <c r="L122" s="8"/>
      <c r="N122" s="8"/>
      <c r="O122" s="8"/>
    </row>
    <row r="123" spans="1:16" x14ac:dyDescent="0.2">
      <c r="A123" s="8"/>
      <c r="B123" s="8"/>
      <c r="C123" s="8"/>
      <c r="D123" s="8"/>
      <c r="E123" s="8"/>
      <c r="F123" s="8"/>
      <c r="G123" s="8"/>
      <c r="I123" s="8"/>
      <c r="J123" s="8"/>
      <c r="K123" s="8"/>
      <c r="L123" s="8"/>
      <c r="N123" s="8"/>
      <c r="O123" s="8"/>
    </row>
    <row r="124" spans="1:16" x14ac:dyDescent="0.2">
      <c r="A124" s="8"/>
      <c r="B124" s="8"/>
      <c r="C124" s="8"/>
      <c r="D124" s="8"/>
      <c r="E124" s="8"/>
      <c r="F124" s="8"/>
      <c r="G124" s="8"/>
      <c r="I124" s="8"/>
      <c r="J124" s="8"/>
      <c r="K124" s="8"/>
      <c r="L124" s="8"/>
      <c r="N124" s="8"/>
      <c r="O124" s="8"/>
    </row>
    <row r="125" spans="1:16" x14ac:dyDescent="0.2">
      <c r="A125" s="8"/>
      <c r="B125" s="8"/>
      <c r="C125" s="8"/>
      <c r="D125" s="8"/>
      <c r="E125" s="8"/>
      <c r="F125" s="8"/>
      <c r="G125" s="8"/>
      <c r="I125" s="8"/>
      <c r="J125" s="8"/>
      <c r="K125" s="8"/>
      <c r="L125" s="8"/>
      <c r="N125" s="8"/>
      <c r="O125" s="8"/>
    </row>
    <row r="126" spans="1:16" x14ac:dyDescent="0.2">
      <c r="A126" s="8"/>
      <c r="B126" s="8"/>
      <c r="C126" s="8"/>
      <c r="D126" s="8"/>
      <c r="E126" s="8"/>
      <c r="F126" s="8"/>
      <c r="G126" s="8"/>
      <c r="I126" s="8"/>
      <c r="J126" s="8"/>
      <c r="K126" s="8"/>
      <c r="L126" s="8"/>
      <c r="N126" s="8"/>
      <c r="O126" s="8"/>
    </row>
    <row r="127" spans="1:16" x14ac:dyDescent="0.2">
      <c r="A127" s="8"/>
      <c r="B127" s="8"/>
      <c r="C127" s="8"/>
      <c r="D127" s="8"/>
      <c r="E127" s="8"/>
      <c r="F127" s="8"/>
      <c r="G127" s="8"/>
      <c r="H127" s="12"/>
      <c r="I127" s="8"/>
      <c r="J127" s="8"/>
      <c r="K127" s="8"/>
      <c r="L127" s="8"/>
      <c r="N127" s="8"/>
      <c r="O127" s="8"/>
    </row>
    <row r="128" spans="1:16" x14ac:dyDescent="0.2">
      <c r="A128" s="8"/>
      <c r="B128" s="8"/>
      <c r="C128" s="8"/>
      <c r="D128" s="8"/>
      <c r="E128" s="8"/>
      <c r="F128" s="8"/>
      <c r="G128" s="8"/>
      <c r="I128" s="8"/>
      <c r="J128" s="8"/>
      <c r="K128" s="8"/>
      <c r="L128" s="8"/>
      <c r="N128" s="8"/>
      <c r="O128" s="8"/>
      <c r="P128" s="12"/>
    </row>
    <row r="129" spans="1:16" x14ac:dyDescent="0.2">
      <c r="A129" s="8"/>
      <c r="B129" s="8"/>
      <c r="C129" s="8"/>
      <c r="D129" s="8"/>
      <c r="E129" s="8"/>
      <c r="F129" s="8"/>
      <c r="G129" s="8"/>
      <c r="I129" s="8"/>
      <c r="J129" s="8"/>
      <c r="K129" s="8"/>
      <c r="L129" s="8"/>
      <c r="N129" s="8"/>
      <c r="O129" s="8"/>
      <c r="P129" s="12"/>
    </row>
    <row r="130" spans="1:16" x14ac:dyDescent="0.2">
      <c r="A130" s="8"/>
      <c r="B130" s="8"/>
      <c r="C130" s="8"/>
      <c r="D130" s="8"/>
      <c r="E130" s="8"/>
      <c r="F130" s="8"/>
      <c r="G130" s="8"/>
      <c r="I130" s="8"/>
      <c r="J130" s="8"/>
      <c r="K130" s="8"/>
      <c r="L130" s="8"/>
      <c r="N130" s="8"/>
      <c r="O130" s="8"/>
      <c r="P130" s="12"/>
    </row>
    <row r="131" spans="1:16" x14ac:dyDescent="0.2">
      <c r="A131" s="8"/>
      <c r="B131" s="8"/>
      <c r="C131" s="8"/>
      <c r="D131" s="8"/>
      <c r="E131" s="8"/>
      <c r="F131" s="8"/>
      <c r="G131" s="8"/>
      <c r="I131" s="8"/>
      <c r="J131" s="8"/>
      <c r="K131" s="8"/>
      <c r="L131" s="8"/>
      <c r="N131" s="8"/>
      <c r="O131" s="8"/>
      <c r="P131" s="12"/>
    </row>
    <row r="132" spans="1:16" x14ac:dyDescent="0.2">
      <c r="A132" s="8"/>
      <c r="B132" s="8"/>
      <c r="C132" s="8"/>
      <c r="D132" s="8"/>
      <c r="E132" s="8"/>
      <c r="F132" s="8"/>
      <c r="G132" s="8"/>
      <c r="I132" s="8"/>
      <c r="J132" s="8"/>
      <c r="K132" s="8"/>
      <c r="L132" s="8"/>
      <c r="N132" s="8"/>
      <c r="O132" s="8"/>
    </row>
    <row r="133" spans="1:16" x14ac:dyDescent="0.2">
      <c r="A133" s="8"/>
      <c r="B133" s="8"/>
      <c r="C133" s="8"/>
      <c r="D133" s="8"/>
      <c r="E133" s="8"/>
      <c r="F133" s="8"/>
      <c r="G133" s="8"/>
      <c r="H133" s="12"/>
      <c r="I133" s="8"/>
      <c r="J133" s="8"/>
      <c r="K133" s="8"/>
      <c r="L133" s="8"/>
      <c r="N133" s="8"/>
      <c r="O133" s="8"/>
    </row>
    <row r="134" spans="1:16" x14ac:dyDescent="0.2">
      <c r="A134" s="8"/>
      <c r="B134" s="8"/>
      <c r="C134" s="8"/>
      <c r="D134" s="8"/>
      <c r="E134" s="8"/>
      <c r="F134" s="8"/>
      <c r="G134" s="8"/>
      <c r="I134" s="8"/>
      <c r="J134" s="8"/>
      <c r="K134" s="8"/>
      <c r="L134" s="8"/>
      <c r="N134" s="8"/>
      <c r="O134" s="8"/>
    </row>
    <row r="135" spans="1:16" x14ac:dyDescent="0.2">
      <c r="A135" s="8"/>
      <c r="B135" s="8"/>
      <c r="C135" s="8"/>
      <c r="D135" s="8"/>
      <c r="E135" s="8"/>
      <c r="F135" s="8"/>
      <c r="G135" s="8"/>
      <c r="I135" s="8"/>
      <c r="J135" s="8"/>
      <c r="K135" s="8"/>
      <c r="L135" s="8"/>
      <c r="N135" s="8"/>
      <c r="O135" s="8"/>
    </row>
    <row r="136" spans="1:16" x14ac:dyDescent="0.2">
      <c r="A136" s="8"/>
      <c r="B136" s="8"/>
      <c r="C136" s="8"/>
      <c r="D136" s="8"/>
      <c r="E136" s="8"/>
      <c r="F136" s="8"/>
      <c r="G136" s="8"/>
      <c r="H136" s="12"/>
      <c r="I136" s="8"/>
      <c r="J136" s="8"/>
      <c r="K136" s="8"/>
      <c r="L136" s="8"/>
      <c r="N136" s="8"/>
      <c r="O136" s="8"/>
    </row>
    <row r="137" spans="1:16" x14ac:dyDescent="0.2">
      <c r="A137" s="8"/>
      <c r="B137" s="8"/>
      <c r="C137" s="8"/>
      <c r="D137" s="8"/>
      <c r="E137" s="8"/>
      <c r="F137" s="8"/>
      <c r="G137" s="8"/>
      <c r="I137" s="8"/>
      <c r="J137" s="8"/>
      <c r="K137" s="8"/>
      <c r="L137" s="8"/>
      <c r="N137" s="8"/>
      <c r="O137" s="8"/>
    </row>
    <row r="138" spans="1:16" x14ac:dyDescent="0.2">
      <c r="A138" s="8"/>
      <c r="B138" s="8"/>
      <c r="C138" s="8"/>
      <c r="D138" s="8"/>
      <c r="E138" s="8"/>
      <c r="F138" s="8"/>
      <c r="G138" s="8"/>
      <c r="I138" s="8"/>
      <c r="J138" s="8"/>
      <c r="K138" s="8"/>
      <c r="L138" s="8"/>
      <c r="N138" s="8"/>
      <c r="O138" s="8"/>
    </row>
    <row r="139" spans="1:16" x14ac:dyDescent="0.2">
      <c r="A139" s="8"/>
      <c r="B139" s="8"/>
      <c r="C139" s="8"/>
      <c r="D139" s="8"/>
      <c r="E139" s="8"/>
      <c r="F139" s="8"/>
      <c r="G139" s="8"/>
      <c r="I139" s="8"/>
      <c r="J139" s="8"/>
      <c r="K139" s="8"/>
      <c r="L139" s="8"/>
      <c r="N139" s="8"/>
      <c r="O139" s="8"/>
    </row>
    <row r="140" spans="1:16" x14ac:dyDescent="0.2">
      <c r="A140" s="8"/>
      <c r="B140" s="8"/>
      <c r="C140" s="8"/>
      <c r="D140" s="8"/>
      <c r="E140" s="8"/>
      <c r="F140" s="8"/>
      <c r="G140" s="8"/>
      <c r="I140" s="8"/>
      <c r="J140" s="8"/>
      <c r="K140" s="8"/>
      <c r="L140" s="8"/>
      <c r="N140" s="8"/>
      <c r="O140" s="8"/>
    </row>
    <row r="141" spans="1:16" x14ac:dyDescent="0.2">
      <c r="A141" s="8"/>
      <c r="B141" s="8"/>
      <c r="C141" s="8"/>
      <c r="D141" s="8"/>
      <c r="E141" s="8"/>
      <c r="F141" s="8"/>
      <c r="G141" s="8"/>
      <c r="I141" s="8"/>
      <c r="J141" s="8"/>
      <c r="K141" s="8"/>
      <c r="L141" s="8"/>
      <c r="N141" s="8"/>
      <c r="O141" s="8"/>
    </row>
    <row r="142" spans="1:16" x14ac:dyDescent="0.2">
      <c r="A142" s="8"/>
      <c r="B142" s="8"/>
      <c r="C142" s="8"/>
      <c r="D142" s="8"/>
      <c r="E142" s="8"/>
      <c r="F142" s="8"/>
      <c r="G142" s="8"/>
      <c r="I142" s="8"/>
      <c r="J142" s="8"/>
      <c r="K142" s="8"/>
      <c r="L142" s="8"/>
      <c r="N142" s="8"/>
      <c r="O142" s="8"/>
    </row>
    <row r="143" spans="1:16" x14ac:dyDescent="0.2">
      <c r="A143" s="8"/>
      <c r="B143" s="8"/>
      <c r="C143" s="8"/>
      <c r="D143" s="8"/>
      <c r="E143" s="8"/>
      <c r="F143" s="8"/>
      <c r="G143" s="8"/>
      <c r="I143" s="8"/>
      <c r="J143" s="8"/>
      <c r="K143" s="8"/>
      <c r="L143" s="8"/>
      <c r="N143" s="8"/>
      <c r="O143" s="8"/>
    </row>
    <row r="144" spans="1:16" x14ac:dyDescent="0.2">
      <c r="A144" s="8"/>
      <c r="B144" s="8"/>
      <c r="C144" s="8"/>
      <c r="D144" s="8"/>
      <c r="E144" s="8"/>
      <c r="F144" s="8"/>
      <c r="G144" s="8"/>
      <c r="I144" s="8"/>
      <c r="J144" s="8"/>
      <c r="K144" s="8"/>
      <c r="L144" s="8"/>
      <c r="N144" s="8"/>
      <c r="O144" s="8"/>
    </row>
    <row r="145" spans="1:16" x14ac:dyDescent="0.2">
      <c r="A145" s="8"/>
      <c r="B145" s="8"/>
      <c r="C145" s="8"/>
      <c r="D145" s="8"/>
      <c r="E145" s="8"/>
      <c r="F145" s="8"/>
      <c r="G145" s="8"/>
      <c r="I145" s="8"/>
      <c r="J145" s="8"/>
      <c r="K145" s="8"/>
      <c r="L145" s="8"/>
      <c r="N145" s="8"/>
      <c r="O145" s="8"/>
    </row>
    <row r="146" spans="1:16" x14ac:dyDescent="0.2">
      <c r="A146" s="8"/>
      <c r="B146" s="8"/>
      <c r="C146" s="8"/>
      <c r="D146" s="8"/>
      <c r="E146" s="8"/>
      <c r="F146" s="8"/>
      <c r="G146" s="8"/>
      <c r="I146" s="8"/>
      <c r="J146" s="8"/>
      <c r="K146" s="8"/>
      <c r="L146" s="8"/>
      <c r="N146" s="8"/>
      <c r="O146" s="8"/>
    </row>
    <row r="147" spans="1:16" x14ac:dyDescent="0.2">
      <c r="A147" s="8"/>
      <c r="B147" s="8"/>
      <c r="C147" s="8"/>
      <c r="D147" s="8"/>
      <c r="E147" s="8"/>
      <c r="F147" s="8"/>
      <c r="G147" s="8"/>
      <c r="I147" s="8"/>
      <c r="J147" s="8"/>
      <c r="K147" s="8"/>
      <c r="L147" s="8"/>
      <c r="N147" s="8"/>
      <c r="O147" s="8"/>
    </row>
    <row r="148" spans="1:16" x14ac:dyDescent="0.2">
      <c r="A148" s="8"/>
      <c r="B148" s="8"/>
      <c r="C148" s="8"/>
      <c r="D148" s="8"/>
      <c r="E148" s="8"/>
      <c r="F148" s="8"/>
      <c r="G148" s="8"/>
      <c r="I148" s="8"/>
      <c r="J148" s="8"/>
      <c r="K148" s="8"/>
      <c r="L148" s="8"/>
      <c r="N148" s="8"/>
      <c r="O148" s="8"/>
    </row>
    <row r="149" spans="1:16" x14ac:dyDescent="0.2">
      <c r="A149" s="8"/>
      <c r="B149" s="8"/>
      <c r="C149" s="8"/>
      <c r="D149" s="8"/>
      <c r="E149" s="8"/>
      <c r="F149" s="8"/>
      <c r="G149" s="8"/>
      <c r="I149" s="8"/>
      <c r="J149" s="8"/>
      <c r="K149" s="8"/>
      <c r="L149" s="8"/>
      <c r="N149" s="8"/>
      <c r="O149" s="8"/>
    </row>
    <row r="150" spans="1:16" x14ac:dyDescent="0.2">
      <c r="A150" s="8"/>
      <c r="B150" s="8"/>
      <c r="C150" s="8"/>
      <c r="D150" s="8"/>
      <c r="E150" s="8"/>
      <c r="F150" s="8"/>
      <c r="G150" s="8"/>
      <c r="I150" s="8"/>
      <c r="J150" s="8"/>
      <c r="K150" s="8"/>
      <c r="L150" s="8"/>
      <c r="N150" s="8"/>
      <c r="O150" s="8"/>
    </row>
    <row r="151" spans="1:16" x14ac:dyDescent="0.2">
      <c r="A151" s="8"/>
      <c r="B151" s="8"/>
      <c r="C151" s="8"/>
      <c r="D151" s="8"/>
      <c r="E151" s="8"/>
      <c r="F151" s="8"/>
      <c r="G151" s="8"/>
      <c r="I151" s="8"/>
      <c r="J151" s="8"/>
      <c r="K151" s="8"/>
      <c r="L151" s="8"/>
      <c r="N151" s="8"/>
      <c r="O151" s="8"/>
    </row>
    <row r="152" spans="1:16" x14ac:dyDescent="0.2">
      <c r="A152" s="8"/>
      <c r="B152" s="8"/>
      <c r="C152" s="8"/>
      <c r="D152" s="8"/>
      <c r="E152" s="8"/>
      <c r="F152" s="8"/>
      <c r="G152" s="8"/>
      <c r="I152" s="8"/>
      <c r="J152" s="8"/>
      <c r="K152" s="8"/>
      <c r="L152" s="8"/>
      <c r="N152" s="8"/>
      <c r="O152" s="8"/>
    </row>
    <row r="153" spans="1:16" x14ac:dyDescent="0.2">
      <c r="A153" s="8"/>
      <c r="B153" s="8"/>
      <c r="C153" s="8"/>
      <c r="D153" s="8"/>
      <c r="E153" s="8"/>
      <c r="F153" s="8"/>
      <c r="G153" s="8"/>
      <c r="I153" s="8"/>
      <c r="J153" s="8"/>
      <c r="K153" s="8"/>
      <c r="L153" s="8"/>
      <c r="N153" s="8"/>
      <c r="O153" s="8"/>
    </row>
    <row r="154" spans="1:16" x14ac:dyDescent="0.2">
      <c r="A154" s="8"/>
      <c r="B154" s="8"/>
      <c r="C154" s="8"/>
      <c r="D154" s="8"/>
      <c r="E154" s="8"/>
      <c r="F154" s="8"/>
      <c r="G154" s="8"/>
      <c r="I154" s="8"/>
      <c r="J154" s="8"/>
      <c r="K154" s="8"/>
      <c r="L154" s="8"/>
      <c r="N154" s="8"/>
      <c r="O154" s="8"/>
    </row>
    <row r="155" spans="1:16" x14ac:dyDescent="0.2">
      <c r="A155" s="8"/>
      <c r="B155" s="8"/>
      <c r="C155" s="8"/>
      <c r="D155" s="8"/>
      <c r="E155" s="8"/>
      <c r="F155" s="8"/>
      <c r="G155" s="8"/>
      <c r="I155" s="8"/>
      <c r="J155" s="8"/>
      <c r="K155" s="8"/>
      <c r="L155" s="8"/>
      <c r="N155" s="8"/>
      <c r="O155" s="8"/>
    </row>
    <row r="156" spans="1:16" x14ac:dyDescent="0.2">
      <c r="A156" s="8"/>
      <c r="B156" s="8"/>
      <c r="C156" s="8"/>
      <c r="D156" s="8"/>
      <c r="E156" s="8"/>
      <c r="F156" s="8"/>
      <c r="G156" s="8"/>
      <c r="I156" s="8"/>
      <c r="J156" s="8"/>
      <c r="K156" s="8"/>
      <c r="L156" s="8"/>
      <c r="N156" s="8"/>
      <c r="O156" s="8"/>
    </row>
    <row r="157" spans="1:16" x14ac:dyDescent="0.2">
      <c r="A157" s="8"/>
      <c r="B157" s="8"/>
      <c r="C157" s="8"/>
      <c r="D157" s="8"/>
      <c r="E157" s="8"/>
      <c r="F157" s="8"/>
      <c r="G157" s="8"/>
      <c r="I157" s="8"/>
      <c r="J157" s="8"/>
      <c r="K157" s="8"/>
      <c r="L157" s="8"/>
      <c r="N157" s="8"/>
      <c r="O157" s="8"/>
    </row>
    <row r="158" spans="1:16" x14ac:dyDescent="0.2">
      <c r="A158" s="8"/>
      <c r="B158" s="8"/>
      <c r="C158" s="8"/>
      <c r="D158" s="8"/>
      <c r="E158" s="8"/>
      <c r="F158" s="8"/>
      <c r="G158" s="8"/>
      <c r="H158" s="12"/>
      <c r="I158" s="8"/>
      <c r="J158" s="8"/>
      <c r="K158" s="8"/>
      <c r="L158" s="8"/>
      <c r="N158" s="8"/>
      <c r="O158" s="8"/>
    </row>
    <row r="159" spans="1:16" x14ac:dyDescent="0.2">
      <c r="A159" s="8"/>
      <c r="B159" s="8"/>
      <c r="C159" s="8"/>
      <c r="D159" s="8"/>
      <c r="E159" s="8"/>
      <c r="F159" s="8"/>
      <c r="G159" s="8"/>
      <c r="I159" s="8"/>
      <c r="J159" s="8"/>
      <c r="K159" s="8"/>
      <c r="L159" s="8"/>
      <c r="N159" s="8"/>
      <c r="O159" s="8"/>
      <c r="P159" s="12"/>
    </row>
    <row r="160" spans="1:16" x14ac:dyDescent="0.2">
      <c r="A160" s="8"/>
      <c r="B160" s="8"/>
      <c r="C160" s="8"/>
      <c r="D160" s="8"/>
      <c r="E160" s="8"/>
      <c r="F160" s="8"/>
      <c r="G160" s="8"/>
      <c r="I160" s="8"/>
      <c r="J160" s="8"/>
      <c r="K160" s="8"/>
      <c r="L160" s="8"/>
      <c r="N160" s="8"/>
      <c r="O160" s="8"/>
      <c r="P160" s="12"/>
    </row>
    <row r="161" spans="1:16" x14ac:dyDescent="0.2">
      <c r="A161" s="8"/>
      <c r="B161" s="8"/>
      <c r="C161" s="8"/>
      <c r="D161" s="8"/>
      <c r="E161" s="8"/>
      <c r="F161" s="8"/>
      <c r="G161" s="8"/>
      <c r="I161" s="8"/>
      <c r="J161" s="8"/>
      <c r="K161" s="8"/>
      <c r="L161" s="8"/>
      <c r="N161" s="8"/>
      <c r="O161" s="8"/>
      <c r="P161" s="12"/>
    </row>
    <row r="162" spans="1:16" x14ac:dyDescent="0.2">
      <c r="A162" s="8"/>
      <c r="B162" s="8"/>
      <c r="C162" s="8"/>
      <c r="D162" s="8"/>
      <c r="E162" s="8"/>
      <c r="F162" s="8"/>
      <c r="G162" s="8"/>
      <c r="I162" s="8"/>
      <c r="J162" s="8"/>
      <c r="K162" s="8"/>
      <c r="L162" s="8"/>
      <c r="N162" s="8"/>
      <c r="O162" s="8"/>
      <c r="P162" s="12"/>
    </row>
    <row r="163" spans="1:16" x14ac:dyDescent="0.2">
      <c r="A163" s="8"/>
      <c r="B163" s="8"/>
      <c r="C163" s="8"/>
      <c r="D163" s="8"/>
      <c r="E163" s="8"/>
      <c r="F163" s="8"/>
      <c r="G163" s="8"/>
      <c r="H163" s="12"/>
      <c r="I163" s="8"/>
      <c r="J163" s="8"/>
      <c r="K163" s="8"/>
      <c r="L163" s="8"/>
      <c r="N163" s="8"/>
      <c r="O163" s="8"/>
    </row>
    <row r="164" spans="1:16" x14ac:dyDescent="0.2">
      <c r="A164" s="8"/>
      <c r="B164" s="8"/>
      <c r="C164" s="8"/>
      <c r="D164" s="8"/>
      <c r="E164" s="8"/>
      <c r="F164" s="8"/>
      <c r="G164" s="8"/>
      <c r="I164" s="8"/>
      <c r="J164" s="8"/>
      <c r="K164" s="8"/>
      <c r="L164" s="8"/>
      <c r="N164" s="8"/>
      <c r="O164" s="8"/>
    </row>
    <row r="165" spans="1:16" x14ac:dyDescent="0.2">
      <c r="A165" s="8"/>
      <c r="B165" s="8"/>
      <c r="C165" s="8"/>
      <c r="D165" s="8"/>
      <c r="E165" s="8"/>
      <c r="F165" s="8"/>
      <c r="G165" s="8"/>
      <c r="I165" s="8"/>
      <c r="J165" s="8"/>
      <c r="K165" s="8"/>
      <c r="L165" s="8"/>
      <c r="N165" s="8"/>
      <c r="O165" s="8"/>
    </row>
    <row r="166" spans="1:16" x14ac:dyDescent="0.2">
      <c r="A166" s="8"/>
      <c r="B166" s="8"/>
      <c r="C166" s="8"/>
      <c r="D166" s="8"/>
      <c r="E166" s="8"/>
      <c r="F166" s="8"/>
      <c r="G166" s="8"/>
      <c r="I166" s="8"/>
      <c r="J166" s="8"/>
      <c r="K166" s="8"/>
      <c r="L166" s="8"/>
      <c r="N166" s="8"/>
      <c r="O166" s="8"/>
    </row>
    <row r="167" spans="1:16" x14ac:dyDescent="0.2">
      <c r="A167" s="8"/>
      <c r="B167" s="8"/>
      <c r="C167" s="8"/>
      <c r="D167" s="8"/>
      <c r="E167" s="8"/>
      <c r="F167" s="8"/>
      <c r="G167" s="8"/>
      <c r="I167" s="8"/>
      <c r="J167" s="8"/>
      <c r="K167" s="8"/>
      <c r="L167" s="8"/>
      <c r="N167" s="8"/>
      <c r="O167" s="8"/>
    </row>
    <row r="168" spans="1:16" x14ac:dyDescent="0.2">
      <c r="A168" s="8"/>
      <c r="B168" s="8"/>
      <c r="C168" s="8"/>
      <c r="D168" s="8"/>
      <c r="E168" s="8"/>
      <c r="F168" s="8"/>
      <c r="G168" s="8"/>
      <c r="I168" s="8"/>
      <c r="J168" s="8"/>
      <c r="K168" s="8"/>
      <c r="L168" s="8"/>
      <c r="N168" s="8"/>
      <c r="O168" s="8"/>
    </row>
    <row r="169" spans="1:16" x14ac:dyDescent="0.2">
      <c r="A169" s="8"/>
      <c r="B169" s="8"/>
      <c r="C169" s="8"/>
      <c r="D169" s="8"/>
      <c r="E169" s="8"/>
      <c r="F169" s="8"/>
      <c r="G169" s="8"/>
      <c r="I169" s="8"/>
      <c r="J169" s="8"/>
      <c r="K169" s="8"/>
      <c r="L169" s="8"/>
      <c r="N169" s="8"/>
      <c r="O169" s="8"/>
    </row>
    <row r="170" spans="1:16" x14ac:dyDescent="0.2">
      <c r="A170" s="8"/>
      <c r="B170" s="8"/>
      <c r="C170" s="8"/>
      <c r="D170" s="8"/>
      <c r="E170" s="8"/>
      <c r="F170" s="8"/>
      <c r="G170" s="8"/>
      <c r="I170" s="8"/>
      <c r="J170" s="8"/>
      <c r="K170" s="8"/>
      <c r="L170" s="8"/>
      <c r="N170" s="8"/>
      <c r="O170" s="8"/>
    </row>
    <row r="171" spans="1:16" x14ac:dyDescent="0.2">
      <c r="A171" s="8"/>
      <c r="B171" s="8"/>
      <c r="C171" s="8"/>
      <c r="D171" s="8"/>
      <c r="E171" s="8"/>
      <c r="F171" s="8"/>
      <c r="G171" s="8"/>
      <c r="I171" s="8"/>
      <c r="J171" s="8"/>
      <c r="K171" s="8"/>
      <c r="L171" s="8"/>
      <c r="N171" s="8"/>
      <c r="O171" s="8"/>
    </row>
    <row r="172" spans="1:16" x14ac:dyDescent="0.2">
      <c r="A172" s="8"/>
      <c r="B172" s="8"/>
      <c r="C172" s="8"/>
      <c r="D172" s="8"/>
      <c r="E172" s="8"/>
      <c r="F172" s="8"/>
      <c r="G172" s="8"/>
      <c r="I172" s="8"/>
      <c r="J172" s="8"/>
      <c r="K172" s="8"/>
      <c r="L172" s="8"/>
      <c r="N172" s="8"/>
      <c r="O172" s="8"/>
    </row>
    <row r="173" spans="1:16" x14ac:dyDescent="0.2">
      <c r="A173" s="8"/>
      <c r="B173" s="8"/>
      <c r="C173" s="8"/>
      <c r="D173" s="8"/>
      <c r="E173" s="8"/>
      <c r="F173" s="8"/>
      <c r="G173" s="8"/>
      <c r="I173" s="8"/>
      <c r="J173" s="8"/>
      <c r="K173" s="8"/>
      <c r="L173" s="8"/>
      <c r="N173" s="8"/>
      <c r="O173" s="8"/>
    </row>
    <row r="174" spans="1:16" x14ac:dyDescent="0.2">
      <c r="A174" s="8"/>
      <c r="B174" s="8"/>
      <c r="C174" s="8"/>
      <c r="D174" s="8"/>
      <c r="E174" s="8"/>
      <c r="F174" s="8"/>
      <c r="G174" s="8"/>
      <c r="I174" s="8"/>
      <c r="J174" s="8"/>
      <c r="K174" s="8"/>
      <c r="L174" s="8"/>
      <c r="N174" s="8"/>
      <c r="O174" s="8"/>
    </row>
    <row r="175" spans="1:16" x14ac:dyDescent="0.2">
      <c r="A175" s="8"/>
      <c r="B175" s="8"/>
      <c r="C175" s="8"/>
      <c r="D175" s="8"/>
      <c r="E175" s="8"/>
      <c r="F175" s="8"/>
      <c r="G175" s="8"/>
      <c r="I175" s="8"/>
      <c r="J175" s="8"/>
      <c r="K175" s="8"/>
      <c r="L175" s="8"/>
      <c r="N175" s="8"/>
      <c r="O175" s="8"/>
    </row>
    <row r="176" spans="1:16" x14ac:dyDescent="0.2">
      <c r="A176" s="8"/>
      <c r="B176" s="8"/>
      <c r="C176" s="8"/>
      <c r="D176" s="8"/>
      <c r="E176" s="8"/>
      <c r="F176" s="8"/>
      <c r="G176" s="8"/>
      <c r="I176" s="8"/>
      <c r="J176" s="8"/>
      <c r="K176" s="8"/>
      <c r="L176" s="8"/>
      <c r="N176" s="8"/>
      <c r="O176" s="8"/>
    </row>
    <row r="177" spans="1:16" x14ac:dyDescent="0.2">
      <c r="A177" s="8"/>
      <c r="B177" s="8"/>
      <c r="C177" s="8"/>
      <c r="D177" s="8"/>
      <c r="E177" s="8"/>
      <c r="F177" s="8"/>
      <c r="G177" s="8"/>
      <c r="I177" s="8"/>
      <c r="J177" s="8"/>
      <c r="K177" s="8"/>
      <c r="L177" s="8"/>
      <c r="N177" s="8"/>
      <c r="O177" s="8"/>
    </row>
    <row r="178" spans="1:16" x14ac:dyDescent="0.2">
      <c r="A178" s="8"/>
      <c r="B178" s="8"/>
      <c r="C178" s="8"/>
      <c r="D178" s="8"/>
      <c r="E178" s="8"/>
      <c r="F178" s="8"/>
      <c r="G178" s="8"/>
      <c r="I178" s="8"/>
      <c r="J178" s="8"/>
      <c r="K178" s="8"/>
      <c r="L178" s="8"/>
      <c r="N178" s="8"/>
      <c r="O178" s="8"/>
    </row>
    <row r="179" spans="1:16" x14ac:dyDescent="0.2">
      <c r="A179" s="8"/>
      <c r="B179" s="8"/>
      <c r="C179" s="8"/>
      <c r="D179" s="8"/>
      <c r="E179" s="8"/>
      <c r="F179" s="8"/>
      <c r="G179" s="8"/>
      <c r="I179" s="8"/>
      <c r="J179" s="8"/>
      <c r="K179" s="8"/>
      <c r="L179" s="8"/>
      <c r="N179" s="8"/>
      <c r="O179" s="8"/>
    </row>
    <row r="180" spans="1:16" x14ac:dyDescent="0.2">
      <c r="A180" s="8"/>
      <c r="B180" s="8"/>
      <c r="C180" s="8"/>
      <c r="D180" s="8"/>
      <c r="E180" s="8"/>
      <c r="F180" s="8"/>
      <c r="G180" s="8"/>
      <c r="I180" s="8"/>
      <c r="J180" s="8"/>
      <c r="K180" s="8"/>
      <c r="L180" s="8"/>
      <c r="N180" s="8"/>
      <c r="O180" s="8"/>
    </row>
    <row r="181" spans="1:16" x14ac:dyDescent="0.2">
      <c r="A181" s="8"/>
      <c r="B181" s="8"/>
      <c r="C181" s="8"/>
      <c r="D181" s="8"/>
      <c r="E181" s="8"/>
      <c r="F181" s="8"/>
      <c r="G181" s="8"/>
      <c r="I181" s="8"/>
      <c r="J181" s="8"/>
      <c r="K181" s="8"/>
      <c r="L181" s="8"/>
      <c r="N181" s="8"/>
      <c r="O181" s="8"/>
    </row>
    <row r="182" spans="1:16" x14ac:dyDescent="0.2">
      <c r="A182" s="8"/>
      <c r="B182" s="8"/>
      <c r="C182" s="8"/>
      <c r="D182" s="8"/>
      <c r="E182" s="8"/>
      <c r="F182" s="8"/>
      <c r="G182" s="8"/>
      <c r="I182" s="8"/>
      <c r="J182" s="8"/>
      <c r="K182" s="8"/>
      <c r="L182" s="8"/>
      <c r="N182" s="8"/>
      <c r="O182" s="8"/>
    </row>
    <row r="183" spans="1:16" x14ac:dyDescent="0.2">
      <c r="A183" s="8"/>
      <c r="B183" s="8"/>
      <c r="C183" s="8"/>
      <c r="D183" s="8"/>
      <c r="E183" s="8"/>
      <c r="F183" s="8"/>
      <c r="G183" s="8"/>
      <c r="I183" s="8"/>
      <c r="J183" s="8"/>
      <c r="K183" s="8"/>
      <c r="L183" s="8"/>
      <c r="N183" s="8"/>
      <c r="O183" s="8"/>
      <c r="P183" s="12"/>
    </row>
    <row r="184" spans="1:16" x14ac:dyDescent="0.2">
      <c r="A184" s="8"/>
      <c r="B184" s="8"/>
      <c r="C184" s="8"/>
      <c r="D184" s="8"/>
      <c r="E184" s="8"/>
      <c r="F184" s="8"/>
      <c r="G184" s="8"/>
      <c r="I184" s="8"/>
      <c r="J184" s="8"/>
      <c r="K184" s="8"/>
      <c r="L184" s="8"/>
      <c r="N184" s="8"/>
      <c r="O184" s="8"/>
    </row>
    <row r="185" spans="1:16" x14ac:dyDescent="0.2">
      <c r="A185" s="8"/>
      <c r="B185" s="8"/>
      <c r="C185" s="8"/>
      <c r="D185" s="8"/>
      <c r="E185" s="8"/>
      <c r="F185" s="8"/>
      <c r="G185" s="8"/>
      <c r="I185" s="8"/>
      <c r="J185" s="8"/>
      <c r="K185" s="8"/>
      <c r="L185" s="8"/>
      <c r="N185" s="8"/>
      <c r="O185" s="8"/>
    </row>
    <row r="186" spans="1:16" x14ac:dyDescent="0.2">
      <c r="A186" s="8"/>
      <c r="B186" s="8"/>
      <c r="C186" s="8"/>
      <c r="D186" s="8"/>
      <c r="E186" s="8"/>
      <c r="F186" s="8"/>
      <c r="G186" s="8"/>
      <c r="I186" s="8"/>
      <c r="J186" s="8"/>
      <c r="K186" s="8"/>
      <c r="L186" s="8"/>
      <c r="N186" s="8"/>
      <c r="O186" s="8"/>
    </row>
    <row r="187" spans="1:16" x14ac:dyDescent="0.2">
      <c r="A187" s="8"/>
      <c r="B187" s="8"/>
      <c r="C187" s="8"/>
      <c r="D187" s="8"/>
      <c r="E187" s="8"/>
      <c r="F187" s="8"/>
      <c r="G187" s="8"/>
      <c r="I187" s="8"/>
      <c r="J187" s="8"/>
      <c r="K187" s="8"/>
      <c r="L187" s="8"/>
      <c r="N187" s="8"/>
      <c r="O187" s="8"/>
    </row>
    <row r="188" spans="1:16" x14ac:dyDescent="0.2">
      <c r="A188" s="8"/>
      <c r="B188" s="8"/>
      <c r="C188" s="8"/>
      <c r="D188" s="8"/>
      <c r="E188" s="8"/>
      <c r="F188" s="8"/>
      <c r="G188" s="8"/>
      <c r="I188" s="8"/>
      <c r="J188" s="8"/>
      <c r="K188" s="8"/>
      <c r="L188" s="8"/>
      <c r="N188" s="8"/>
      <c r="O188" s="8"/>
    </row>
    <row r="189" spans="1:16" x14ac:dyDescent="0.2">
      <c r="A189" s="8"/>
      <c r="B189" s="8"/>
      <c r="C189" s="8"/>
      <c r="D189" s="8"/>
      <c r="E189" s="8"/>
      <c r="F189" s="8"/>
      <c r="G189" s="8"/>
      <c r="I189" s="8"/>
      <c r="J189" s="8"/>
      <c r="K189" s="8"/>
      <c r="L189" s="8"/>
      <c r="N189" s="8"/>
      <c r="O189" s="8"/>
      <c r="P189" s="12"/>
    </row>
    <row r="190" spans="1:16" x14ac:dyDescent="0.2">
      <c r="A190" s="8"/>
      <c r="B190" s="8"/>
      <c r="C190" s="8"/>
      <c r="D190" s="8"/>
      <c r="E190" s="8"/>
      <c r="F190" s="8"/>
      <c r="G190" s="8"/>
      <c r="I190" s="8"/>
      <c r="J190" s="8"/>
      <c r="K190" s="8"/>
      <c r="L190" s="8"/>
      <c r="N190" s="8"/>
      <c r="O190" s="8"/>
    </row>
    <row r="191" spans="1:16" x14ac:dyDescent="0.2">
      <c r="A191" s="8"/>
      <c r="B191" s="8"/>
      <c r="C191" s="8"/>
      <c r="D191" s="8"/>
      <c r="E191" s="8"/>
      <c r="F191" s="8"/>
      <c r="G191" s="8"/>
      <c r="I191" s="8"/>
      <c r="J191" s="8"/>
      <c r="K191" s="8"/>
      <c r="L191" s="8"/>
      <c r="N191" s="8"/>
      <c r="O191" s="8"/>
    </row>
    <row r="192" spans="1:16" x14ac:dyDescent="0.2">
      <c r="A192" s="8"/>
      <c r="B192" s="8"/>
      <c r="C192" s="8"/>
      <c r="D192" s="8"/>
      <c r="E192" s="8"/>
      <c r="F192" s="8"/>
      <c r="G192" s="8"/>
      <c r="I192" s="8"/>
      <c r="J192" s="8"/>
      <c r="K192" s="8"/>
      <c r="L192" s="8"/>
      <c r="N192" s="8"/>
      <c r="O192" s="8"/>
    </row>
    <row r="193" spans="1:15" x14ac:dyDescent="0.2">
      <c r="A193" s="8"/>
      <c r="B193" s="8"/>
      <c r="C193" s="8"/>
      <c r="D193" s="8"/>
      <c r="E193" s="8"/>
      <c r="F193" s="8"/>
      <c r="G193" s="8"/>
      <c r="I193" s="8"/>
      <c r="J193" s="8"/>
      <c r="K193" s="8"/>
      <c r="L193" s="8"/>
      <c r="N193" s="8"/>
      <c r="O193" s="8"/>
    </row>
    <row r="194" spans="1:15" x14ac:dyDescent="0.2">
      <c r="A194" s="8"/>
      <c r="B194" s="8"/>
      <c r="C194" s="8"/>
      <c r="D194" s="8"/>
      <c r="E194" s="8"/>
      <c r="F194" s="8"/>
      <c r="G194" s="8"/>
      <c r="I194" s="8"/>
      <c r="J194" s="8"/>
      <c r="K194" s="8"/>
      <c r="L194" s="8"/>
      <c r="N194" s="8"/>
      <c r="O194" s="8"/>
    </row>
    <row r="195" spans="1:15" x14ac:dyDescent="0.2">
      <c r="A195" s="8"/>
      <c r="B195" s="8"/>
      <c r="C195" s="8"/>
      <c r="D195" s="8"/>
      <c r="E195" s="8"/>
      <c r="F195" s="8"/>
      <c r="G195" s="8"/>
      <c r="I195" s="8"/>
      <c r="J195" s="8"/>
      <c r="K195" s="8"/>
      <c r="L195" s="8"/>
      <c r="N195" s="8"/>
      <c r="O195" s="8"/>
    </row>
    <row r="196" spans="1:15" x14ac:dyDescent="0.2">
      <c r="A196" s="8"/>
      <c r="B196" s="8"/>
      <c r="C196" s="8"/>
      <c r="D196" s="8"/>
      <c r="E196" s="8"/>
      <c r="F196" s="8"/>
      <c r="G196" s="8"/>
      <c r="I196" s="8"/>
      <c r="J196" s="8"/>
      <c r="K196" s="8"/>
      <c r="L196" s="8"/>
      <c r="N196" s="8"/>
      <c r="O196" s="8"/>
    </row>
    <row r="197" spans="1:15" x14ac:dyDescent="0.2">
      <c r="A197" s="8"/>
      <c r="B197" s="8"/>
      <c r="C197" s="8"/>
      <c r="D197" s="8"/>
      <c r="E197" s="8"/>
      <c r="F197" s="8"/>
      <c r="G197" s="8"/>
      <c r="I197" s="8"/>
      <c r="J197" s="8"/>
      <c r="K197" s="8"/>
      <c r="L197" s="8"/>
      <c r="N197" s="8"/>
      <c r="O197" s="8"/>
    </row>
    <row r="198" spans="1:15" x14ac:dyDescent="0.2">
      <c r="A198" s="8"/>
      <c r="B198" s="8"/>
      <c r="C198" s="8"/>
      <c r="D198" s="8"/>
      <c r="E198" s="8"/>
      <c r="F198" s="8"/>
      <c r="G198" s="8"/>
      <c r="I198" s="8"/>
      <c r="J198" s="8"/>
      <c r="K198" s="8"/>
      <c r="L198" s="8"/>
      <c r="N198" s="8"/>
      <c r="O198" s="8"/>
    </row>
    <row r="199" spans="1:15" x14ac:dyDescent="0.2">
      <c r="A199" s="8"/>
      <c r="B199" s="8"/>
      <c r="C199" s="8"/>
      <c r="D199" s="8"/>
      <c r="E199" s="8"/>
      <c r="F199" s="8"/>
      <c r="G199" s="8"/>
      <c r="I199" s="8"/>
      <c r="J199" s="8"/>
      <c r="K199" s="8"/>
      <c r="L199" s="8"/>
      <c r="N199" s="8"/>
      <c r="O199" s="8"/>
    </row>
    <row r="200" spans="1:15" x14ac:dyDescent="0.2">
      <c r="A200" s="8"/>
      <c r="B200" s="8"/>
      <c r="C200" s="8"/>
      <c r="D200" s="8"/>
      <c r="E200" s="8"/>
      <c r="F200" s="8"/>
      <c r="G200" s="8"/>
      <c r="I200" s="8"/>
      <c r="J200" s="8"/>
      <c r="K200" s="8"/>
      <c r="L200" s="8"/>
      <c r="N200" s="8"/>
      <c r="O200" s="8"/>
    </row>
    <row r="201" spans="1:15" x14ac:dyDescent="0.2">
      <c r="A201" s="8"/>
      <c r="B201" s="8"/>
      <c r="C201" s="8"/>
      <c r="D201" s="8"/>
      <c r="E201" s="8"/>
      <c r="F201" s="8"/>
      <c r="G201" s="8"/>
      <c r="I201" s="8"/>
      <c r="J201" s="8"/>
      <c r="K201" s="8"/>
      <c r="L201" s="8"/>
      <c r="N201" s="8"/>
      <c r="O201" s="8"/>
    </row>
    <row r="202" spans="1:15" x14ac:dyDescent="0.2">
      <c r="A202" s="8"/>
      <c r="B202" s="8"/>
      <c r="C202" s="8"/>
      <c r="D202" s="8"/>
      <c r="E202" s="8"/>
      <c r="F202" s="8"/>
      <c r="G202" s="8"/>
      <c r="I202" s="8"/>
      <c r="J202" s="8"/>
      <c r="K202" s="8"/>
      <c r="L202" s="8"/>
      <c r="N202" s="8"/>
      <c r="O202" s="8"/>
    </row>
    <row r="203" spans="1:15" x14ac:dyDescent="0.2">
      <c r="A203" s="8"/>
      <c r="B203" s="8"/>
      <c r="C203" s="8"/>
      <c r="D203" s="8"/>
      <c r="E203" s="8"/>
      <c r="F203" s="8"/>
      <c r="G203" s="8"/>
      <c r="I203" s="8"/>
      <c r="J203" s="8"/>
      <c r="K203" s="8"/>
      <c r="L203" s="8"/>
      <c r="N203" s="8"/>
      <c r="O203" s="8"/>
    </row>
    <row r="204" spans="1:15" x14ac:dyDescent="0.2">
      <c r="A204" s="8"/>
      <c r="B204" s="8"/>
      <c r="C204" s="8"/>
      <c r="D204" s="8"/>
      <c r="E204" s="8"/>
      <c r="F204" s="8"/>
      <c r="G204" s="8"/>
      <c r="I204" s="8"/>
      <c r="J204" s="8"/>
      <c r="K204" s="8"/>
      <c r="L204" s="8"/>
      <c r="N204" s="8"/>
      <c r="O204" s="8"/>
    </row>
    <row r="205" spans="1:15" x14ac:dyDescent="0.2">
      <c r="A205" s="8"/>
      <c r="B205" s="8"/>
      <c r="C205" s="8"/>
      <c r="D205" s="8"/>
      <c r="E205" s="8"/>
      <c r="F205" s="8"/>
      <c r="G205" s="8"/>
      <c r="I205" s="8"/>
      <c r="J205" s="8"/>
      <c r="K205" s="8"/>
      <c r="L205" s="8"/>
      <c r="N205" s="8"/>
      <c r="O205" s="8"/>
    </row>
    <row r="206" spans="1:15" x14ac:dyDescent="0.2">
      <c r="A206" s="8"/>
      <c r="B206" s="8"/>
      <c r="C206" s="8"/>
      <c r="D206" s="8"/>
      <c r="E206" s="8"/>
      <c r="F206" s="8"/>
      <c r="G206" s="8"/>
      <c r="I206" s="8"/>
      <c r="J206" s="8"/>
      <c r="K206" s="8"/>
      <c r="L206" s="8"/>
      <c r="N206" s="8"/>
      <c r="O206" s="8"/>
    </row>
    <row r="207" spans="1:15" x14ac:dyDescent="0.2">
      <c r="A207" s="8"/>
      <c r="B207" s="8"/>
      <c r="C207" s="8"/>
      <c r="D207" s="8"/>
      <c r="E207" s="8"/>
      <c r="F207" s="8"/>
      <c r="G207" s="8"/>
      <c r="I207" s="8"/>
      <c r="J207" s="8"/>
      <c r="K207" s="8"/>
      <c r="L207" s="8"/>
      <c r="N207" s="8"/>
      <c r="O207" s="8"/>
    </row>
    <row r="208" spans="1:15" x14ac:dyDescent="0.2">
      <c r="A208" s="8"/>
      <c r="B208" s="8"/>
      <c r="C208" s="8"/>
      <c r="D208" s="8"/>
      <c r="E208" s="8"/>
      <c r="F208" s="8"/>
      <c r="G208" s="8"/>
      <c r="I208" s="8"/>
      <c r="J208" s="8"/>
      <c r="K208" s="8"/>
      <c r="L208" s="8"/>
      <c r="N208" s="8"/>
      <c r="O208" s="8"/>
    </row>
    <row r="209" spans="1:15" x14ac:dyDescent="0.2">
      <c r="A209" s="8"/>
      <c r="B209" s="8"/>
      <c r="C209" s="8"/>
      <c r="D209" s="8"/>
      <c r="E209" s="8"/>
      <c r="F209" s="8"/>
      <c r="G209" s="8"/>
      <c r="I209" s="8"/>
      <c r="J209" s="8"/>
      <c r="K209" s="8"/>
      <c r="L209" s="8"/>
      <c r="N209" s="8"/>
      <c r="O209" s="8"/>
    </row>
    <row r="210" spans="1:15" x14ac:dyDescent="0.2">
      <c r="A210" s="8"/>
      <c r="B210" s="8"/>
      <c r="C210" s="8"/>
      <c r="D210" s="8"/>
      <c r="E210" s="8"/>
      <c r="F210" s="8"/>
      <c r="G210" s="8"/>
      <c r="I210" s="8"/>
      <c r="J210" s="8"/>
      <c r="K210" s="8"/>
      <c r="L210" s="8"/>
      <c r="N210" s="8"/>
      <c r="O210" s="8"/>
    </row>
    <row r="211" spans="1:15" x14ac:dyDescent="0.2">
      <c r="A211" s="8"/>
      <c r="B211" s="8"/>
      <c r="C211" s="8"/>
      <c r="D211" s="8"/>
      <c r="E211" s="8"/>
      <c r="F211" s="8"/>
      <c r="G211" s="8"/>
      <c r="I211" s="8"/>
      <c r="J211" s="8"/>
      <c r="K211" s="8"/>
      <c r="L211" s="8"/>
      <c r="N211" s="8"/>
      <c r="O211" s="8"/>
    </row>
    <row r="212" spans="1:15" x14ac:dyDescent="0.2">
      <c r="A212" s="8"/>
      <c r="B212" s="8"/>
      <c r="C212" s="8"/>
      <c r="D212" s="8"/>
      <c r="E212" s="8"/>
      <c r="F212" s="8"/>
      <c r="G212" s="8"/>
      <c r="I212" s="8"/>
      <c r="J212" s="8"/>
      <c r="K212" s="8"/>
      <c r="L212" s="8"/>
      <c r="N212" s="8"/>
      <c r="O212" s="8"/>
    </row>
    <row r="213" spans="1:15" x14ac:dyDescent="0.2">
      <c r="A213" s="8"/>
      <c r="B213" s="8"/>
      <c r="C213" s="8"/>
      <c r="D213" s="8"/>
      <c r="E213" s="8"/>
      <c r="F213" s="8"/>
      <c r="G213" s="8"/>
      <c r="I213" s="8"/>
      <c r="J213" s="8"/>
      <c r="K213" s="8"/>
      <c r="L213" s="8"/>
      <c r="N213" s="8"/>
      <c r="O213" s="8"/>
    </row>
    <row r="214" spans="1:15" x14ac:dyDescent="0.2">
      <c r="A214" s="8"/>
      <c r="B214" s="8"/>
      <c r="C214" s="8"/>
      <c r="D214" s="8"/>
      <c r="E214" s="8"/>
      <c r="F214" s="8"/>
      <c r="G214" s="8"/>
      <c r="I214" s="8"/>
      <c r="J214" s="8"/>
      <c r="K214" s="8"/>
      <c r="L214" s="8"/>
      <c r="N214" s="8"/>
      <c r="O214" s="8"/>
    </row>
    <row r="215" spans="1:15" x14ac:dyDescent="0.2">
      <c r="A215" s="8"/>
      <c r="B215" s="8"/>
      <c r="C215" s="8"/>
      <c r="D215" s="8"/>
      <c r="E215" s="8"/>
      <c r="F215" s="8"/>
      <c r="G215" s="8"/>
      <c r="I215" s="8"/>
      <c r="J215" s="8"/>
      <c r="K215" s="8"/>
      <c r="L215" s="8"/>
      <c r="N215" s="8"/>
      <c r="O215" s="8"/>
    </row>
    <row r="216" spans="1:15" x14ac:dyDescent="0.2">
      <c r="A216" s="8"/>
      <c r="B216" s="8"/>
      <c r="C216" s="8"/>
      <c r="D216" s="8"/>
      <c r="E216" s="8"/>
      <c r="F216" s="8"/>
      <c r="G216" s="8"/>
      <c r="I216" s="8"/>
      <c r="J216" s="8"/>
      <c r="K216" s="8"/>
      <c r="L216" s="8"/>
      <c r="N216" s="8"/>
      <c r="O216" s="8"/>
    </row>
    <row r="217" spans="1:15" x14ac:dyDescent="0.2">
      <c r="A217" s="8"/>
      <c r="B217" s="8"/>
      <c r="C217" s="8"/>
      <c r="D217" s="8"/>
      <c r="E217" s="8"/>
      <c r="F217" s="8"/>
      <c r="G217" s="8"/>
      <c r="I217" s="8"/>
      <c r="J217" s="8"/>
      <c r="K217" s="8"/>
      <c r="L217" s="8"/>
      <c r="N217" s="8"/>
      <c r="O217" s="8"/>
    </row>
    <row r="218" spans="1:15" x14ac:dyDescent="0.2">
      <c r="A218" s="8"/>
      <c r="B218" s="8"/>
      <c r="C218" s="8"/>
      <c r="D218" s="8"/>
      <c r="E218" s="8"/>
      <c r="F218" s="8"/>
      <c r="G218" s="8"/>
      <c r="I218" s="8"/>
      <c r="J218" s="8"/>
      <c r="K218" s="8"/>
      <c r="L218" s="8"/>
      <c r="N218" s="8"/>
      <c r="O218" s="8"/>
    </row>
    <row r="219" spans="1:15" x14ac:dyDescent="0.2">
      <c r="A219" s="8"/>
      <c r="B219" s="8"/>
      <c r="C219" s="8"/>
      <c r="D219" s="8"/>
      <c r="E219" s="8"/>
      <c r="F219" s="8"/>
      <c r="G219" s="8"/>
      <c r="I219" s="8"/>
      <c r="J219" s="8"/>
      <c r="K219" s="8"/>
      <c r="L219" s="8"/>
      <c r="N219" s="8"/>
      <c r="O219" s="8"/>
    </row>
    <row r="220" spans="1:15" x14ac:dyDescent="0.2">
      <c r="A220" s="8"/>
      <c r="B220" s="8"/>
      <c r="C220" s="8"/>
      <c r="D220" s="8"/>
      <c r="E220" s="8"/>
      <c r="F220" s="8"/>
      <c r="G220" s="8"/>
      <c r="I220" s="8"/>
      <c r="J220" s="8"/>
      <c r="K220" s="8"/>
      <c r="L220" s="8"/>
      <c r="N220" s="8"/>
      <c r="O220" s="8"/>
    </row>
    <row r="221" spans="1:15" x14ac:dyDescent="0.2">
      <c r="A221" s="8"/>
      <c r="B221" s="8"/>
      <c r="C221" s="8"/>
      <c r="D221" s="8"/>
      <c r="E221" s="8"/>
      <c r="F221" s="8"/>
      <c r="G221" s="8"/>
      <c r="I221" s="8"/>
      <c r="J221" s="8"/>
      <c r="K221" s="8"/>
      <c r="L221" s="8"/>
      <c r="N221" s="8"/>
      <c r="O221" s="8"/>
    </row>
    <row r="222" spans="1:15" x14ac:dyDescent="0.2">
      <c r="A222" s="8"/>
      <c r="B222" s="8"/>
      <c r="C222" s="8"/>
      <c r="D222" s="8"/>
      <c r="E222" s="8"/>
      <c r="F222" s="8"/>
      <c r="G222" s="8"/>
      <c r="I222" s="8"/>
      <c r="J222" s="8"/>
      <c r="K222" s="8"/>
      <c r="L222" s="8"/>
      <c r="N222" s="8"/>
      <c r="O222" s="8"/>
    </row>
    <row r="223" spans="1:15" x14ac:dyDescent="0.2">
      <c r="A223" s="8"/>
      <c r="B223" s="8"/>
      <c r="C223" s="8"/>
      <c r="D223" s="8"/>
      <c r="E223" s="8"/>
      <c r="F223" s="8"/>
      <c r="G223" s="8"/>
      <c r="I223" s="8"/>
      <c r="J223" s="8"/>
      <c r="K223" s="8"/>
      <c r="L223" s="8"/>
      <c r="N223" s="8"/>
      <c r="O223" s="8"/>
    </row>
    <row r="224" spans="1:15" x14ac:dyDescent="0.2">
      <c r="A224" s="8"/>
      <c r="B224" s="8"/>
      <c r="C224" s="8"/>
      <c r="D224" s="8"/>
      <c r="E224" s="8"/>
      <c r="F224" s="8"/>
      <c r="G224" s="8"/>
      <c r="I224" s="8"/>
      <c r="J224" s="8"/>
      <c r="K224" s="8"/>
      <c r="L224" s="8"/>
      <c r="N224" s="8"/>
      <c r="O224" s="8"/>
    </row>
    <row r="225" spans="1:16" x14ac:dyDescent="0.2">
      <c r="A225" s="8"/>
      <c r="B225" s="8"/>
      <c r="C225" s="8"/>
      <c r="D225" s="8"/>
      <c r="E225" s="8"/>
      <c r="F225" s="8"/>
      <c r="G225" s="8"/>
      <c r="I225" s="8"/>
      <c r="J225" s="8"/>
      <c r="K225" s="8"/>
      <c r="L225" s="8"/>
      <c r="N225" s="8"/>
      <c r="O225" s="8"/>
    </row>
    <row r="226" spans="1:16" x14ac:dyDescent="0.2">
      <c r="A226" s="8"/>
      <c r="B226" s="8"/>
      <c r="C226" s="8"/>
      <c r="D226" s="8"/>
      <c r="E226" s="8"/>
      <c r="F226" s="8"/>
      <c r="G226" s="8"/>
      <c r="I226" s="8"/>
      <c r="J226" s="8"/>
      <c r="K226" s="8"/>
      <c r="L226" s="8"/>
      <c r="N226" s="8"/>
      <c r="O226" s="8"/>
    </row>
    <row r="227" spans="1:16" x14ac:dyDescent="0.2">
      <c r="A227" s="8"/>
      <c r="B227" s="8"/>
      <c r="C227" s="8"/>
      <c r="D227" s="8"/>
      <c r="E227" s="8"/>
      <c r="F227" s="8"/>
      <c r="G227" s="8"/>
      <c r="I227" s="8"/>
      <c r="J227" s="8"/>
      <c r="K227" s="8"/>
      <c r="L227" s="8"/>
      <c r="N227" s="8"/>
      <c r="O227" s="8"/>
    </row>
    <row r="228" spans="1:16" x14ac:dyDescent="0.2">
      <c r="A228" s="8"/>
      <c r="B228" s="8"/>
      <c r="C228" s="8"/>
      <c r="D228" s="8"/>
      <c r="E228" s="8"/>
      <c r="F228" s="8"/>
      <c r="G228" s="8"/>
      <c r="I228" s="8"/>
      <c r="J228" s="8"/>
      <c r="K228" s="8"/>
      <c r="L228" s="8"/>
      <c r="N228" s="8"/>
      <c r="O228" s="8"/>
    </row>
    <row r="229" spans="1:16" x14ac:dyDescent="0.2">
      <c r="A229" s="8"/>
      <c r="B229" s="8"/>
      <c r="C229" s="8"/>
      <c r="D229" s="8"/>
      <c r="E229" s="8"/>
      <c r="F229" s="8"/>
      <c r="G229" s="8"/>
      <c r="I229" s="8"/>
      <c r="J229" s="8"/>
      <c r="K229" s="8"/>
      <c r="L229" s="8"/>
      <c r="N229" s="8"/>
      <c r="O229" s="8"/>
    </row>
    <row r="230" spans="1:16" x14ac:dyDescent="0.2">
      <c r="A230" s="8"/>
      <c r="B230" s="8"/>
      <c r="C230" s="8"/>
      <c r="D230" s="8"/>
      <c r="E230" s="8"/>
      <c r="F230" s="8"/>
      <c r="G230" s="8"/>
      <c r="I230" s="8"/>
      <c r="J230" s="8"/>
      <c r="K230" s="8"/>
      <c r="L230" s="8"/>
      <c r="N230" s="8"/>
      <c r="O230" s="8"/>
    </row>
    <row r="231" spans="1:16" x14ac:dyDescent="0.2">
      <c r="A231" s="8"/>
      <c r="B231" s="8"/>
      <c r="C231" s="8"/>
      <c r="D231" s="8"/>
      <c r="E231" s="8"/>
      <c r="F231" s="8"/>
      <c r="G231" s="8"/>
      <c r="I231" s="8"/>
      <c r="J231" s="8"/>
      <c r="K231" s="8"/>
      <c r="L231" s="8"/>
      <c r="N231" s="8"/>
      <c r="O231" s="8"/>
    </row>
    <row r="232" spans="1:16" x14ac:dyDescent="0.2">
      <c r="A232" s="8"/>
      <c r="B232" s="8"/>
      <c r="C232" s="8"/>
      <c r="D232" s="8"/>
      <c r="E232" s="8"/>
      <c r="F232" s="8"/>
      <c r="G232" s="8"/>
      <c r="I232" s="8"/>
      <c r="J232" s="8"/>
      <c r="K232" s="8"/>
      <c r="L232" s="8"/>
      <c r="N232" s="8"/>
      <c r="O232" s="8"/>
    </row>
    <row r="233" spans="1:16" x14ac:dyDescent="0.2">
      <c r="A233" s="8"/>
      <c r="B233" s="8"/>
      <c r="C233" s="8"/>
      <c r="D233" s="8"/>
      <c r="E233" s="8"/>
      <c r="F233" s="8"/>
      <c r="G233" s="8"/>
      <c r="I233" s="8"/>
      <c r="J233" s="8"/>
      <c r="K233" s="8"/>
      <c r="L233" s="8"/>
      <c r="N233" s="8"/>
      <c r="O233" s="8"/>
    </row>
    <row r="234" spans="1:16" x14ac:dyDescent="0.2">
      <c r="A234" s="8"/>
      <c r="B234" s="8"/>
      <c r="C234" s="8"/>
      <c r="D234" s="8"/>
      <c r="E234" s="8"/>
      <c r="F234" s="8"/>
      <c r="G234" s="8"/>
      <c r="I234" s="8"/>
      <c r="J234" s="8"/>
      <c r="K234" s="8"/>
      <c r="L234" s="8"/>
      <c r="N234" s="8"/>
      <c r="O234" s="8"/>
    </row>
    <row r="235" spans="1:16" x14ac:dyDescent="0.2">
      <c r="A235" s="8"/>
      <c r="B235" s="8"/>
      <c r="C235" s="8"/>
      <c r="D235" s="8"/>
      <c r="E235" s="8"/>
      <c r="F235" s="8"/>
      <c r="G235" s="8"/>
      <c r="I235" s="8"/>
      <c r="J235" s="8"/>
      <c r="K235" s="8"/>
      <c r="L235" s="8"/>
      <c r="N235" s="8"/>
      <c r="O235" s="8"/>
    </row>
    <row r="236" spans="1:16" x14ac:dyDescent="0.2">
      <c r="A236" s="8"/>
      <c r="B236" s="8"/>
      <c r="C236" s="8"/>
      <c r="D236" s="8"/>
      <c r="E236" s="8"/>
      <c r="F236" s="8"/>
      <c r="G236" s="8"/>
      <c r="I236" s="8"/>
      <c r="J236" s="8"/>
      <c r="K236" s="8"/>
      <c r="L236" s="8"/>
      <c r="N236" s="8"/>
      <c r="O236" s="8"/>
    </row>
    <row r="237" spans="1:16" x14ac:dyDescent="0.2">
      <c r="A237" s="8"/>
      <c r="B237" s="8"/>
      <c r="C237" s="8"/>
      <c r="D237" s="8"/>
      <c r="E237" s="8"/>
      <c r="F237" s="8"/>
      <c r="G237" s="8"/>
      <c r="I237" s="8"/>
      <c r="J237" s="8"/>
      <c r="K237" s="8"/>
      <c r="L237" s="8"/>
      <c r="N237" s="8"/>
      <c r="O237" s="8"/>
      <c r="P237" s="12"/>
    </row>
    <row r="238" spans="1:16" x14ac:dyDescent="0.2">
      <c r="A238" s="8"/>
      <c r="B238" s="8"/>
      <c r="C238" s="8"/>
      <c r="D238" s="8"/>
      <c r="E238" s="8"/>
      <c r="F238" s="8"/>
      <c r="G238" s="8"/>
      <c r="I238" s="8"/>
      <c r="J238" s="8"/>
      <c r="K238" s="8"/>
      <c r="L238" s="8"/>
      <c r="N238" s="8"/>
      <c r="O238" s="8"/>
    </row>
    <row r="239" spans="1:16" x14ac:dyDescent="0.2">
      <c r="A239" s="8"/>
      <c r="B239" s="8"/>
      <c r="C239" s="8"/>
      <c r="D239" s="8"/>
      <c r="E239" s="8"/>
      <c r="F239" s="8"/>
      <c r="G239" s="8"/>
      <c r="I239" s="8"/>
      <c r="J239" s="8"/>
      <c r="K239" s="8"/>
      <c r="L239" s="8"/>
      <c r="N239" s="8"/>
      <c r="O239" s="8"/>
    </row>
    <row r="240" spans="1:16" x14ac:dyDescent="0.2">
      <c r="A240" s="8"/>
      <c r="B240" s="8"/>
      <c r="C240" s="8"/>
      <c r="D240" s="8"/>
      <c r="E240" s="8"/>
      <c r="F240" s="8"/>
      <c r="G240" s="8"/>
      <c r="I240" s="8"/>
      <c r="J240" s="8"/>
      <c r="K240" s="8"/>
      <c r="L240" s="8"/>
      <c r="N240" s="8"/>
      <c r="O240" s="8"/>
    </row>
    <row r="241" spans="1:15" x14ac:dyDescent="0.2">
      <c r="A241" s="8"/>
      <c r="B241" s="8"/>
      <c r="C241" s="8"/>
      <c r="D241" s="8"/>
      <c r="E241" s="8"/>
      <c r="F241" s="8"/>
      <c r="G241" s="8"/>
      <c r="I241" s="8"/>
      <c r="J241" s="8"/>
      <c r="K241" s="8"/>
      <c r="L241" s="8"/>
      <c r="N241" s="8"/>
      <c r="O241" s="8"/>
    </row>
    <row r="242" spans="1:15" x14ac:dyDescent="0.2">
      <c r="A242" s="8"/>
      <c r="B242" s="8"/>
      <c r="C242" s="8"/>
      <c r="D242" s="8"/>
      <c r="E242" s="8"/>
      <c r="F242" s="8"/>
      <c r="G242" s="8"/>
      <c r="I242" s="8"/>
      <c r="J242" s="8"/>
      <c r="K242" s="8"/>
      <c r="L242" s="8"/>
      <c r="N242" s="8"/>
      <c r="O242" s="8"/>
    </row>
    <row r="243" spans="1:15" x14ac:dyDescent="0.2">
      <c r="A243" s="8"/>
      <c r="B243" s="8"/>
      <c r="C243" s="8"/>
      <c r="D243" s="8"/>
      <c r="E243" s="8"/>
      <c r="F243" s="8"/>
      <c r="G243" s="8"/>
      <c r="I243" s="8"/>
      <c r="J243" s="8"/>
      <c r="K243" s="8"/>
      <c r="L243" s="8"/>
      <c r="N243" s="8"/>
      <c r="O243" s="8"/>
    </row>
    <row r="244" spans="1:15" x14ac:dyDescent="0.2">
      <c r="A244" s="8"/>
      <c r="B244" s="8"/>
      <c r="C244" s="8"/>
      <c r="D244" s="8"/>
      <c r="E244" s="8"/>
      <c r="F244" s="8"/>
      <c r="G244" s="8"/>
      <c r="I244" s="8"/>
      <c r="J244" s="8"/>
      <c r="K244" s="8"/>
      <c r="L244" s="8"/>
      <c r="N244" s="8"/>
      <c r="O244" s="8"/>
    </row>
    <row r="245" spans="1:15" x14ac:dyDescent="0.2">
      <c r="A245" s="8"/>
      <c r="B245" s="8"/>
      <c r="C245" s="8"/>
      <c r="D245" s="8"/>
      <c r="E245" s="8"/>
      <c r="F245" s="8"/>
      <c r="G245" s="8"/>
      <c r="I245" s="8"/>
      <c r="J245" s="8"/>
      <c r="K245" s="8"/>
      <c r="L245" s="8"/>
      <c r="N245" s="8"/>
      <c r="O245" s="8"/>
    </row>
    <row r="246" spans="1:15" x14ac:dyDescent="0.2">
      <c r="A246" s="8"/>
      <c r="B246" s="8"/>
      <c r="C246" s="8"/>
      <c r="D246" s="8"/>
      <c r="E246" s="8"/>
      <c r="F246" s="8"/>
      <c r="G246" s="8"/>
      <c r="I246" s="8"/>
      <c r="J246" s="8"/>
      <c r="K246" s="8"/>
      <c r="L246" s="8"/>
      <c r="N246" s="8"/>
      <c r="O246" s="8"/>
    </row>
    <row r="247" spans="1:15" x14ac:dyDescent="0.2">
      <c r="A247" s="8"/>
      <c r="B247" s="8"/>
      <c r="C247" s="8"/>
      <c r="D247" s="8"/>
      <c r="E247" s="8"/>
      <c r="F247" s="8"/>
      <c r="G247" s="8"/>
      <c r="I247" s="8"/>
      <c r="J247" s="8"/>
      <c r="K247" s="8"/>
      <c r="L247" s="8"/>
      <c r="N247" s="8"/>
      <c r="O247" s="8"/>
    </row>
    <row r="248" spans="1:15" x14ac:dyDescent="0.2">
      <c r="A248" s="8"/>
      <c r="B248" s="8"/>
      <c r="C248" s="8"/>
      <c r="D248" s="8"/>
      <c r="E248" s="8"/>
      <c r="F248" s="8"/>
      <c r="G248" s="8"/>
      <c r="I248" s="8"/>
      <c r="J248" s="8"/>
      <c r="K248" s="8"/>
      <c r="L248" s="8"/>
      <c r="N248" s="8"/>
      <c r="O248" s="8"/>
    </row>
    <row r="249" spans="1:15" x14ac:dyDescent="0.2">
      <c r="A249" s="8"/>
      <c r="B249" s="8"/>
      <c r="C249" s="8"/>
      <c r="D249" s="8"/>
      <c r="E249" s="8"/>
      <c r="F249" s="8"/>
      <c r="G249" s="8"/>
      <c r="I249" s="8"/>
      <c r="J249" s="8"/>
      <c r="K249" s="8"/>
      <c r="L249" s="8"/>
      <c r="N249" s="8"/>
      <c r="O249" s="8"/>
    </row>
    <row r="250" spans="1:15" x14ac:dyDescent="0.2">
      <c r="A250" s="8"/>
      <c r="B250" s="8"/>
      <c r="C250" s="8"/>
      <c r="D250" s="8"/>
      <c r="E250" s="8"/>
      <c r="F250" s="8"/>
      <c r="G250" s="8"/>
      <c r="I250" s="8"/>
      <c r="J250" s="8"/>
      <c r="K250" s="8"/>
      <c r="L250" s="8"/>
      <c r="N250" s="8"/>
      <c r="O250" s="8"/>
    </row>
    <row r="251" spans="1:15" x14ac:dyDescent="0.2">
      <c r="A251" s="8"/>
      <c r="B251" s="8"/>
      <c r="C251" s="8"/>
      <c r="D251" s="8"/>
      <c r="E251" s="8"/>
      <c r="F251" s="8"/>
      <c r="G251" s="8"/>
      <c r="I251" s="8"/>
      <c r="J251" s="8"/>
      <c r="K251" s="8"/>
      <c r="L251" s="8"/>
      <c r="N251" s="8"/>
      <c r="O251" s="8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GV27"/>
  <sheetViews>
    <sheetView workbookViewId="0"/>
  </sheetViews>
  <sheetFormatPr baseColWidth="10" defaultColWidth="15.6640625" defaultRowHeight="15" x14ac:dyDescent="0.2"/>
  <cols>
    <col min="1" max="16384" width="15.6640625" style="40"/>
  </cols>
  <sheetData>
    <row r="1" spans="1:204" x14ac:dyDescent="0.2">
      <c r="A1" s="40" t="s">
        <v>1421</v>
      </c>
      <c r="B1" s="43" t="e">
        <f>PDM!$V$13</f>
        <v>#VALUE!</v>
      </c>
      <c r="C1" s="44"/>
      <c r="D1" s="44"/>
      <c r="E1" s="42"/>
      <c r="F1" s="40" t="s">
        <v>1458</v>
      </c>
      <c r="I1" s="40" t="s">
        <v>1412</v>
      </c>
      <c r="J1" s="42">
        <v>4</v>
      </c>
      <c r="L1" s="40" t="s">
        <v>1409</v>
      </c>
      <c r="M1" s="42" t="b">
        <v>1</v>
      </c>
      <c r="O1" s="40" t="s">
        <v>1404</v>
      </c>
      <c r="Y1" s="40" t="s">
        <v>1423</v>
      </c>
      <c r="AA1" s="40" t="s">
        <v>1466</v>
      </c>
      <c r="AD1" s="40" t="s">
        <v>1441</v>
      </c>
      <c r="AG1" s="40" t="s">
        <v>1438</v>
      </c>
    </row>
    <row r="2" spans="1:204" x14ac:dyDescent="0.2">
      <c r="A2" s="40" t="s">
        <v>1422</v>
      </c>
      <c r="B2" s="43">
        <v>1</v>
      </c>
      <c r="C2" s="43">
        <v>0</v>
      </c>
      <c r="F2" s="40" t="s">
        <v>1459</v>
      </c>
      <c r="G2" s="43" t="b">
        <v>0</v>
      </c>
      <c r="H2" s="43"/>
      <c r="I2" s="40" t="s">
        <v>1402</v>
      </c>
      <c r="J2" s="42"/>
      <c r="L2" s="40" t="s">
        <v>1452</v>
      </c>
      <c r="M2" s="44"/>
      <c r="O2" s="40" t="s">
        <v>1405</v>
      </c>
      <c r="P2" s="42"/>
      <c r="R2" s="40" t="s">
        <v>1413</v>
      </c>
      <c r="S2" s="45" t="s">
        <v>1473</v>
      </c>
      <c r="U2" s="40" t="s">
        <v>1419</v>
      </c>
      <c r="V2" s="42"/>
      <c r="X2" s="40" t="s">
        <v>1424</v>
      </c>
      <c r="Y2" s="43">
        <v>1</v>
      </c>
      <c r="AA2" s="40" t="s">
        <v>1467</v>
      </c>
      <c r="AB2" s="43">
        <v>0</v>
      </c>
      <c r="AD2" s="40" t="s">
        <v>1442</v>
      </c>
      <c r="AE2" s="43" t="b">
        <v>0</v>
      </c>
      <c r="AG2" s="40" t="s">
        <v>1439</v>
      </c>
      <c r="AH2" s="44"/>
    </row>
    <row r="3" spans="1:204" x14ac:dyDescent="0.2">
      <c r="A3" s="40" t="s">
        <v>1434</v>
      </c>
      <c r="B3" s="43" t="b">
        <v>1</v>
      </c>
      <c r="C3" s="43">
        <v>20000</v>
      </c>
      <c r="F3" s="40" t="s">
        <v>1460</v>
      </c>
      <c r="G3" s="43" t="b">
        <v>0</v>
      </c>
      <c r="H3" s="43"/>
      <c r="I3" s="40" t="s">
        <v>1403</v>
      </c>
      <c r="J3" s="48">
        <v>0</v>
      </c>
      <c r="L3" s="40" t="s">
        <v>1451</v>
      </c>
      <c r="M3" s="44"/>
      <c r="N3" s="44"/>
      <c r="O3" s="40" t="s">
        <v>1406</v>
      </c>
      <c r="P3" s="42"/>
      <c r="R3" s="40" t="s">
        <v>1414</v>
      </c>
      <c r="S3" s="45" t="s">
        <v>1489</v>
      </c>
      <c r="U3" s="40" t="s">
        <v>1420</v>
      </c>
      <c r="V3" s="42"/>
      <c r="X3" s="40" t="s">
        <v>1425</v>
      </c>
      <c r="Y3" s="43">
        <v>0.1</v>
      </c>
      <c r="AA3" s="40" t="s">
        <v>1468</v>
      </c>
      <c r="AB3" s="42"/>
      <c r="AD3" s="40" t="s">
        <v>1443</v>
      </c>
      <c r="AE3" s="43">
        <v>10000</v>
      </c>
      <c r="AG3" s="40" t="s">
        <v>1440</v>
      </c>
      <c r="AH3" s="44"/>
    </row>
    <row r="4" spans="1:204" x14ac:dyDescent="0.2">
      <c r="A4" s="40" t="s">
        <v>1436</v>
      </c>
      <c r="B4" s="43" t="b">
        <v>0</v>
      </c>
      <c r="C4" s="43">
        <v>5</v>
      </c>
      <c r="D4" s="43">
        <v>2</v>
      </c>
      <c r="F4" s="40" t="s">
        <v>1461</v>
      </c>
      <c r="G4" s="43" t="b">
        <v>0</v>
      </c>
      <c r="H4" s="43"/>
      <c r="L4" s="40" t="s">
        <v>1431</v>
      </c>
      <c r="M4" s="44"/>
      <c r="O4" s="40" t="s">
        <v>1407</v>
      </c>
      <c r="P4" s="42"/>
      <c r="R4" s="40" t="s">
        <v>1415</v>
      </c>
      <c r="S4" s="45" t="s">
        <v>1474</v>
      </c>
      <c r="X4" s="40" t="s">
        <v>1426</v>
      </c>
      <c r="Y4" s="43">
        <v>0.5</v>
      </c>
      <c r="AA4" s="40" t="s">
        <v>1469</v>
      </c>
      <c r="AB4" s="42"/>
      <c r="AD4" s="40" t="s">
        <v>1444</v>
      </c>
      <c r="AE4" s="43" t="b">
        <v>0</v>
      </c>
    </row>
    <row r="5" spans="1:204" x14ac:dyDescent="0.2">
      <c r="A5" s="40" t="s">
        <v>1437</v>
      </c>
      <c r="B5" s="43" t="b">
        <v>1</v>
      </c>
      <c r="C5" s="43">
        <v>20000</v>
      </c>
      <c r="D5" s="43">
        <v>0.01</v>
      </c>
      <c r="E5" s="43" t="b">
        <v>1</v>
      </c>
      <c r="F5" s="40" t="s">
        <v>1462</v>
      </c>
      <c r="G5" s="43" t="b">
        <v>0</v>
      </c>
      <c r="H5" s="43"/>
      <c r="L5" s="40" t="s">
        <v>1432</v>
      </c>
      <c r="M5" s="44"/>
      <c r="O5" s="40" t="s">
        <v>1408</v>
      </c>
      <c r="P5" s="42"/>
      <c r="R5" s="40" t="s">
        <v>1416</v>
      </c>
      <c r="S5" s="45" t="s">
        <v>1473</v>
      </c>
      <c r="X5" s="40" t="s">
        <v>1427</v>
      </c>
      <c r="Y5" s="43" t="s">
        <v>1472</v>
      </c>
      <c r="AA5" s="40" t="s">
        <v>1470</v>
      </c>
      <c r="AB5" s="42"/>
      <c r="AD5" s="40" t="s">
        <v>1445</v>
      </c>
      <c r="AE5" s="43">
        <v>15</v>
      </c>
    </row>
    <row r="6" spans="1:204" x14ac:dyDescent="0.2">
      <c r="A6" s="40" t="s">
        <v>1435</v>
      </c>
      <c r="B6" s="43" t="b">
        <v>0</v>
      </c>
      <c r="C6" s="43"/>
      <c r="F6" s="40" t="s">
        <v>1463</v>
      </c>
      <c r="G6" s="43" t="b">
        <v>0</v>
      </c>
      <c r="H6" s="43"/>
      <c r="L6" s="40" t="s">
        <v>1464</v>
      </c>
      <c r="M6" s="44"/>
      <c r="N6" s="44"/>
      <c r="R6" s="40" t="s">
        <v>1417</v>
      </c>
      <c r="S6" s="42"/>
      <c r="X6" s="40" t="s">
        <v>1428</v>
      </c>
      <c r="Y6" s="44"/>
      <c r="AA6" s="40" t="s">
        <v>1471</v>
      </c>
      <c r="AB6" s="42"/>
      <c r="AD6" s="40" t="s">
        <v>1446</v>
      </c>
      <c r="AE6" s="43">
        <v>2</v>
      </c>
    </row>
    <row r="7" spans="1:204" x14ac:dyDescent="0.2">
      <c r="A7" s="40" t="s">
        <v>1429</v>
      </c>
      <c r="B7" s="43">
        <v>500</v>
      </c>
      <c r="L7" s="40" t="s">
        <v>1465</v>
      </c>
      <c r="M7" s="44"/>
      <c r="N7" s="44"/>
      <c r="R7" s="40" t="s">
        <v>1418</v>
      </c>
      <c r="S7" s="42"/>
      <c r="AD7" s="40" t="s">
        <v>1447</v>
      </c>
      <c r="AE7" s="43" t="b">
        <v>1</v>
      </c>
    </row>
    <row r="8" spans="1:204" x14ac:dyDescent="0.2">
      <c r="A8" s="40" t="s">
        <v>1367</v>
      </c>
      <c r="B8" s="40" t="s">
        <v>1367</v>
      </c>
      <c r="F8" s="40" t="s">
        <v>1430</v>
      </c>
      <c r="G8" s="43" t="b">
        <v>1</v>
      </c>
      <c r="H8" s="43">
        <v>1</v>
      </c>
      <c r="AD8" s="40" t="s">
        <v>1448</v>
      </c>
      <c r="AE8" s="43">
        <v>10000</v>
      </c>
    </row>
    <row r="9" spans="1:204" x14ac:dyDescent="0.2">
      <c r="A9" s="40" t="s">
        <v>1457</v>
      </c>
      <c r="B9" s="43">
        <v>3</v>
      </c>
      <c r="F9" s="40" t="s">
        <v>1454</v>
      </c>
      <c r="G9" s="43" t="b">
        <v>0</v>
      </c>
      <c r="AD9" s="40" t="s">
        <v>1449</v>
      </c>
      <c r="AE9" s="43">
        <v>0.01</v>
      </c>
    </row>
    <row r="10" spans="1:204" x14ac:dyDescent="0.2">
      <c r="A10" s="40" t="s">
        <v>1433</v>
      </c>
      <c r="B10" s="43" t="b">
        <v>0</v>
      </c>
      <c r="AD10" s="40" t="s">
        <v>1450</v>
      </c>
      <c r="AE10" s="43" t="b">
        <v>1</v>
      </c>
    </row>
    <row r="11" spans="1:204" x14ac:dyDescent="0.2">
      <c r="A11" s="40" t="s">
        <v>1453</v>
      </c>
      <c r="B11" s="43" t="b">
        <v>1</v>
      </c>
    </row>
    <row r="12" spans="1:204" x14ac:dyDescent="0.2">
      <c r="A12" s="40" t="s">
        <v>1456</v>
      </c>
      <c r="B12" s="43" t="b">
        <v>0</v>
      </c>
      <c r="F12" s="40" t="s">
        <v>1455</v>
      </c>
      <c r="G12" s="43">
        <v>2</v>
      </c>
    </row>
    <row r="14" spans="1:204" ht="16" thickBot="1" x14ac:dyDescent="0.25">
      <c r="A14" s="40" t="s">
        <v>1410</v>
      </c>
      <c r="B14" s="42">
        <v>1</v>
      </c>
      <c r="AX14" s="40" t="s">
        <v>1411</v>
      </c>
      <c r="AY14" s="42">
        <v>5</v>
      </c>
    </row>
    <row r="15" spans="1:204" s="41" customFormat="1" ht="16" thickTop="1" x14ac:dyDescent="0.2">
      <c r="A15" s="41" t="s">
        <v>1368</v>
      </c>
      <c r="B15" s="41" t="s">
        <v>1369</v>
      </c>
      <c r="C15" s="41" t="s">
        <v>1370</v>
      </c>
      <c r="D15" s="41" t="s">
        <v>1371</v>
      </c>
      <c r="E15" s="41" t="s">
        <v>1372</v>
      </c>
      <c r="F15" s="41" t="s">
        <v>1373</v>
      </c>
      <c r="G15" s="41" t="s">
        <v>1374</v>
      </c>
      <c r="H15" s="41" t="s">
        <v>1375</v>
      </c>
      <c r="I15" s="41" t="s">
        <v>1376</v>
      </c>
      <c r="J15" s="41" t="s">
        <v>1377</v>
      </c>
      <c r="K15" s="41" t="s">
        <v>1378</v>
      </c>
      <c r="AX15" s="41" t="s">
        <v>1379</v>
      </c>
      <c r="AY15" s="41" t="s">
        <v>1380</v>
      </c>
      <c r="AZ15" s="41" t="s">
        <v>1381</v>
      </c>
      <c r="BA15" s="41" t="s">
        <v>1371</v>
      </c>
      <c r="BB15" s="41" t="s">
        <v>1382</v>
      </c>
      <c r="BC15" s="41" t="s">
        <v>1383</v>
      </c>
      <c r="BD15" s="41" t="s">
        <v>1384</v>
      </c>
      <c r="BE15" s="41" t="s">
        <v>1385</v>
      </c>
      <c r="BF15" s="41" t="s">
        <v>1386</v>
      </c>
      <c r="BG15" s="41" t="s">
        <v>1387</v>
      </c>
      <c r="BH15" s="41" t="s">
        <v>1388</v>
      </c>
      <c r="BI15" s="41" t="s">
        <v>1389</v>
      </c>
      <c r="BJ15" s="41" t="s">
        <v>1390</v>
      </c>
      <c r="BK15" s="41" t="s">
        <v>1391</v>
      </c>
      <c r="BL15" s="41" t="s">
        <v>1392</v>
      </c>
      <c r="BM15" s="41" t="s">
        <v>1393</v>
      </c>
      <c r="BN15" s="41" t="s">
        <v>1394</v>
      </c>
      <c r="BO15" s="41" t="s">
        <v>1395</v>
      </c>
      <c r="BP15" s="41" t="s">
        <v>1396</v>
      </c>
      <c r="BQ15" s="41" t="s">
        <v>1397</v>
      </c>
      <c r="BR15" s="41" t="s">
        <v>1398</v>
      </c>
      <c r="BS15" s="41" t="s">
        <v>1399</v>
      </c>
      <c r="BT15" s="41" t="s">
        <v>1400</v>
      </c>
      <c r="BU15" s="41" t="s">
        <v>1401</v>
      </c>
    </row>
    <row r="16" spans="1:204" x14ac:dyDescent="0.2">
      <c r="A16" s="40" t="s">
        <v>1486</v>
      </c>
      <c r="B16" s="40">
        <v>0.1</v>
      </c>
      <c r="C16" s="40">
        <v>0.5</v>
      </c>
      <c r="D16" s="46" t="s">
        <v>1487</v>
      </c>
      <c r="G16" s="40">
        <v>1</v>
      </c>
      <c r="H16" s="47" t="e">
        <f>PDM!$P$37:$P$251</f>
        <v>#VALUE!</v>
      </c>
      <c r="I16" s="40">
        <v>0</v>
      </c>
      <c r="J16" s="40" t="e">
        <f>PDM!$O$37:$O$251</f>
        <v>#VALUE!</v>
      </c>
      <c r="K16" s="40" t="s">
        <v>1488</v>
      </c>
      <c r="L16" s="40">
        <v>0</v>
      </c>
      <c r="M16" s="40" t="b">
        <v>0</v>
      </c>
      <c r="AX16" s="40">
        <v>2</v>
      </c>
      <c r="AY16" s="40">
        <v>1</v>
      </c>
      <c r="BB16" s="40">
        <v>0</v>
      </c>
      <c r="BC16" s="40">
        <v>6</v>
      </c>
      <c r="BD16" s="40" t="e">
        <f>PDM!$T$9</f>
        <v>#VALUE!</v>
      </c>
      <c r="BE16" s="40">
        <v>5</v>
      </c>
      <c r="BF16" s="40">
        <v>0</v>
      </c>
      <c r="BK16" s="40">
        <v>-1</v>
      </c>
      <c r="BM16" s="40" t="b">
        <v>0</v>
      </c>
      <c r="BN16" s="40" t="b">
        <v>0</v>
      </c>
      <c r="GV16" s="46"/>
    </row>
    <row r="17" spans="1:204" x14ac:dyDescent="0.2">
      <c r="A17" s="40" t="s">
        <v>1475</v>
      </c>
      <c r="AX17" s="40">
        <v>2</v>
      </c>
      <c r="AY17" s="40">
        <v>1</v>
      </c>
      <c r="BB17" s="40">
        <v>0</v>
      </c>
      <c r="BC17" s="40">
        <v>6</v>
      </c>
      <c r="BD17" s="40" t="e">
        <f>PDM!$T$10</f>
        <v>#VALUE!</v>
      </c>
      <c r="BE17" s="40">
        <v>5</v>
      </c>
      <c r="BF17" s="40">
        <v>0</v>
      </c>
      <c r="BK17" s="40">
        <v>-1</v>
      </c>
      <c r="BM17" s="40" t="b">
        <v>0</v>
      </c>
      <c r="BN17" s="40" t="b">
        <v>0</v>
      </c>
      <c r="GV17" s="46"/>
    </row>
    <row r="18" spans="1:204" x14ac:dyDescent="0.2">
      <c r="A18" s="40" t="s">
        <v>1476</v>
      </c>
      <c r="AX18" s="40">
        <v>2</v>
      </c>
      <c r="AY18" s="40">
        <v>1</v>
      </c>
      <c r="BB18" s="40">
        <v>0</v>
      </c>
      <c r="BC18" s="40">
        <v>6</v>
      </c>
      <c r="BD18" s="40" t="e">
        <f>PDM!$T$11</f>
        <v>#VALUE!</v>
      </c>
      <c r="BE18" s="40">
        <v>5</v>
      </c>
      <c r="BF18" s="40">
        <v>0</v>
      </c>
      <c r="BK18" s="40">
        <v>-1</v>
      </c>
      <c r="BM18" s="40" t="b">
        <v>0</v>
      </c>
      <c r="BN18" s="40" t="b">
        <v>0</v>
      </c>
      <c r="GV18" s="46"/>
    </row>
    <row r="19" spans="1:204" x14ac:dyDescent="0.2">
      <c r="A19" s="40" t="s">
        <v>1477</v>
      </c>
      <c r="AX19" s="40">
        <v>2</v>
      </c>
      <c r="AY19" s="40">
        <v>1</v>
      </c>
      <c r="BB19" s="40">
        <v>0</v>
      </c>
      <c r="BC19" s="40">
        <v>6</v>
      </c>
      <c r="BD19" s="40" t="e">
        <f>PDM!$T$12</f>
        <v>#VALUE!</v>
      </c>
      <c r="BE19" s="40">
        <v>5</v>
      </c>
      <c r="BF19" s="40">
        <v>0</v>
      </c>
      <c r="BK19" s="40">
        <v>-1</v>
      </c>
      <c r="BM19" s="40" t="b">
        <v>0</v>
      </c>
      <c r="BN19" s="40" t="b">
        <v>0</v>
      </c>
      <c r="GV19" s="46"/>
    </row>
    <row r="20" spans="1:204" x14ac:dyDescent="0.2">
      <c r="A20" s="40" t="s">
        <v>1478</v>
      </c>
      <c r="AX20" s="40">
        <v>2</v>
      </c>
      <c r="AY20" s="40">
        <v>1</v>
      </c>
      <c r="BB20" s="40">
        <v>0</v>
      </c>
      <c r="BC20" s="40">
        <v>6</v>
      </c>
      <c r="BD20" s="40" t="e">
        <f>PDM!$V$12</f>
        <v>#VALUE!</v>
      </c>
      <c r="BE20" s="40">
        <v>2</v>
      </c>
      <c r="BF20" s="40">
        <v>720</v>
      </c>
      <c r="BK20" s="40">
        <v>-1</v>
      </c>
      <c r="BM20" s="40" t="b">
        <v>0</v>
      </c>
      <c r="BN20" s="40" t="b">
        <v>0</v>
      </c>
      <c r="GV20" s="46"/>
    </row>
    <row r="21" spans="1:204" x14ac:dyDescent="0.2">
      <c r="A21" s="40" t="s">
        <v>1479</v>
      </c>
    </row>
    <row r="22" spans="1:204" x14ac:dyDescent="0.2">
      <c r="A22" s="40" t="s">
        <v>1480</v>
      </c>
    </row>
    <row r="23" spans="1:204" x14ac:dyDescent="0.2">
      <c r="A23" s="40" t="s">
        <v>1481</v>
      </c>
    </row>
    <row r="24" spans="1:204" x14ac:dyDescent="0.2">
      <c r="A24" s="40" t="s">
        <v>1482</v>
      </c>
    </row>
    <row r="25" spans="1:204" x14ac:dyDescent="0.2">
      <c r="A25" s="40" t="s">
        <v>1483</v>
      </c>
    </row>
    <row r="26" spans="1:204" x14ac:dyDescent="0.2">
      <c r="A26" s="40" t="s">
        <v>1484</v>
      </c>
    </row>
    <row r="27" spans="1:204" x14ac:dyDescent="0.2">
      <c r="A27" s="40" t="s">
        <v>1485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C3"/>
  <sheetViews>
    <sheetView workbookViewId="0"/>
  </sheetViews>
  <sheetFormatPr baseColWidth="10" defaultColWidth="8.83203125" defaultRowHeight="15" x14ac:dyDescent="0.2"/>
  <sheetData>
    <row r="3" spans="3:3" x14ac:dyDescent="0.2">
      <c r="C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Task_Table</vt:lpstr>
      <vt:lpstr>Task_Table1</vt:lpstr>
      <vt:lpstr>Main</vt:lpstr>
      <vt:lpstr>PDM</vt:lpstr>
      <vt:lpstr>Resource_Table</vt:lpstr>
      <vt:lpstr>GRANT CHART</vt:lpstr>
      <vt:lpstr>OUTPUT</vt:lpstr>
      <vt:lpstr>Convert</vt:lpstr>
      <vt:lpstr>ev_HiddenInfo</vt:lpstr>
      <vt:lpstr>_PalUtilTempWorksheet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Microsoft Office User</cp:lastModifiedBy>
  <dcterms:created xsi:type="dcterms:W3CDTF">2020-01-21T07:47:35Z</dcterms:created>
  <dcterms:modified xsi:type="dcterms:W3CDTF">2020-11-25T06:04:24Z</dcterms:modified>
</cp:coreProperties>
</file>